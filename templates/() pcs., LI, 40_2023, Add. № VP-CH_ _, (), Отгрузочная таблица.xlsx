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CursorProject\templates\"/>
    </mc:Choice>
  </mc:AlternateContent>
  <xr:revisionPtr revIDLastSave="0" documentId="13_ncr:1_{6FBCA2A4-2458-45AD-B3B4-BD1385F122A6}" xr6:coauthVersionLast="47" xr6:coauthVersionMax="47" xr10:uidLastSave="{00000000-0000-0000-0000-000000000000}"/>
  <bookViews>
    <workbookView xWindow="-120" yWindow="-120" windowWidth="29040" windowHeight="15720" tabRatio="771" firstSheet="1" activeTab="2" xr2:uid="{00000000-000D-0000-FFFF-FFFF00000000}"/>
  </bookViews>
  <sheets>
    <sheet name="TPP" sheetId="513" state="hidden" r:id="rId1"/>
    <sheet name="Consolidated invoice" sheetId="493" r:id="rId2"/>
    <sheet name="TOTAL" sheetId="24" r:id="rId3"/>
  </sheets>
  <externalReferences>
    <externalReference r:id="rId4"/>
    <externalReference r:id="rId5"/>
    <externalReference r:id="rId6"/>
  </externalReferences>
  <definedNames>
    <definedName name="_xlnm._FilterDatabase" localSheetId="1" hidden="1">'Consolidated invoice'!$E$1:$E$132</definedName>
    <definedName name="_xlnm._FilterDatabase" localSheetId="2" hidden="1">TOTAL!$L$81:$L$157</definedName>
    <definedName name="ГОСТЫ" localSheetId="1">[1]Списки!$A$11:$A$13</definedName>
    <definedName name="ГОСТЫ">[2]Списки!$A$11:$A$13</definedName>
    <definedName name="_xlnm.Print_Area" localSheetId="1">'Consolidated invoice'!$A$1:$F$111</definedName>
    <definedName name="_xlnm.Print_Area" localSheetId="0">TPP!$A$1:$M$65</definedName>
    <definedName name="Перевозчик">'[3]127'!$U$27:$U$28</definedName>
    <definedName name="ПОРОДЫ" localSheetId="1">[1]Списки!$A$2:$A$7</definedName>
    <definedName name="ПОРОДЫ">[2]Списки!$A$2:$A$7</definedName>
    <definedName name="ТОВАРЫ" localSheetId="1">[1]Списки!$C$11:$C$13</definedName>
    <definedName name="ТОВАРЫ">[2]Списки!$C$11:$C$13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24" l="1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J132" i="24"/>
  <c r="J133" i="24"/>
  <c r="J134" i="24"/>
  <c r="J135" i="24"/>
  <c r="J136" i="24"/>
  <c r="J137" i="24"/>
  <c r="J138" i="24"/>
  <c r="J139" i="24"/>
  <c r="J140" i="24"/>
  <c r="J141" i="24"/>
  <c r="J142" i="24"/>
  <c r="J143" i="24"/>
  <c r="J144" i="24"/>
  <c r="J145" i="24"/>
  <c r="J146" i="24"/>
  <c r="J147" i="24"/>
  <c r="J148" i="24"/>
  <c r="J149" i="24"/>
  <c r="J150" i="24"/>
  <c r="J151" i="24"/>
  <c r="J152" i="24"/>
  <c r="J153" i="24"/>
  <c r="J154" i="24"/>
  <c r="J155" i="24"/>
  <c r="J156" i="24"/>
  <c r="J157" i="24"/>
  <c r="O82" i="24"/>
  <c r="J82" i="24"/>
  <c r="K131" i="493"/>
  <c r="M131" i="493"/>
  <c r="N111" i="493"/>
  <c r="O111" i="493" s="1"/>
  <c r="N112" i="493"/>
  <c r="O112" i="493" s="1"/>
  <c r="N113" i="493"/>
  <c r="O113" i="493" s="1"/>
  <c r="N114" i="493"/>
  <c r="O114" i="493" s="1"/>
  <c r="N115" i="493"/>
  <c r="O115" i="493" s="1"/>
  <c r="N116" i="493"/>
  <c r="O116" i="493" s="1"/>
  <c r="N117" i="493"/>
  <c r="O117" i="493" s="1"/>
  <c r="N118" i="493"/>
  <c r="O118" i="493" s="1"/>
  <c r="N119" i="493"/>
  <c r="O119" i="493" s="1"/>
  <c r="N120" i="493"/>
  <c r="O120" i="493" s="1"/>
  <c r="N121" i="493"/>
  <c r="O121" i="493" s="1"/>
  <c r="N122" i="493"/>
  <c r="O122" i="493" s="1"/>
  <c r="N123" i="493"/>
  <c r="O123" i="493" s="1"/>
  <c r="N124" i="493"/>
  <c r="O124" i="493" s="1"/>
  <c r="N125" i="493"/>
  <c r="O125" i="493" s="1"/>
  <c r="N126" i="493"/>
  <c r="O126" i="493" s="1"/>
  <c r="N127" i="493"/>
  <c r="O127" i="493" s="1"/>
  <c r="N128" i="493"/>
  <c r="O128" i="493" s="1"/>
  <c r="N129" i="493"/>
  <c r="O129" i="493" s="1"/>
  <c r="N130" i="493"/>
  <c r="O130" i="493" s="1"/>
  <c r="N110" i="493"/>
  <c r="O110" i="493" s="1"/>
  <c r="M171" i="24" l="1"/>
  <c r="M173" i="24"/>
  <c r="B5" i="24" l="1"/>
  <c r="M164" i="24"/>
  <c r="B6" i="24" l="1"/>
  <c r="B84" i="24"/>
  <c r="P83" i="24"/>
  <c r="D84" i="24" l="1"/>
  <c r="B7" i="24"/>
  <c r="L131" i="493"/>
  <c r="N131" i="493" s="1"/>
  <c r="O131" i="493" s="1"/>
  <c r="H2" i="493"/>
  <c r="B85" i="24"/>
  <c r="P84" i="24"/>
  <c r="J108" i="493"/>
  <c r="D85" i="24" l="1"/>
  <c r="B8" i="24"/>
  <c r="B46" i="513"/>
  <c r="P85" i="24"/>
  <c r="B86" i="24"/>
  <c r="D86" i="24" l="1"/>
  <c r="B9" i="24"/>
  <c r="K39" i="513"/>
  <c r="G46" i="513"/>
  <c r="D46" i="513"/>
  <c r="C27" i="513"/>
  <c r="H5" i="513"/>
  <c r="B87" i="24"/>
  <c r="P86" i="24"/>
  <c r="D87" i="24" l="1"/>
  <c r="B10" i="24"/>
  <c r="P87" i="24"/>
  <c r="B88" i="24"/>
  <c r="D88" i="24" l="1"/>
  <c r="B11" i="24"/>
  <c r="M167" i="24"/>
  <c r="C30" i="513"/>
  <c r="P88" i="24"/>
  <c r="B89" i="24"/>
  <c r="D89" i="24" l="1"/>
  <c r="B12" i="24"/>
  <c r="P89" i="24"/>
  <c r="B90" i="24"/>
  <c r="D90" i="24" l="1"/>
  <c r="B13" i="24"/>
  <c r="E102" i="493"/>
  <c r="E64" i="493"/>
  <c r="E83" i="493"/>
  <c r="B91" i="24"/>
  <c r="C91" i="24"/>
  <c r="M181" i="24"/>
  <c r="E31" i="493"/>
  <c r="E38" i="493"/>
  <c r="D91" i="24" l="1"/>
  <c r="B14" i="24" l="1"/>
  <c r="F102" i="493"/>
  <c r="G91" i="24"/>
  <c r="E91" i="24"/>
  <c r="F89" i="24"/>
  <c r="F91" i="24"/>
  <c r="F90" i="24"/>
  <c r="F87" i="24"/>
  <c r="F84" i="24"/>
  <c r="F83" i="493"/>
  <c r="F38" i="493"/>
  <c r="F86" i="24"/>
  <c r="F64" i="493"/>
  <c r="F88" i="24"/>
  <c r="F85" i="24"/>
  <c r="F31" i="493"/>
  <c r="C22" i="513"/>
  <c r="E9" i="493"/>
  <c r="C89" i="24"/>
  <c r="N88" i="24"/>
  <c r="E58" i="493"/>
  <c r="P82" i="24"/>
  <c r="M162" i="24"/>
  <c r="E12" i="493"/>
  <c r="E53" i="493"/>
  <c r="E88" i="493"/>
  <c r="E33" i="493"/>
  <c r="E92" i="493"/>
  <c r="U83" i="24"/>
  <c r="E68" i="493"/>
  <c r="T88" i="24"/>
  <c r="E65" i="493"/>
  <c r="E104" i="493"/>
  <c r="E103" i="493"/>
  <c r="M87" i="24"/>
  <c r="N89" i="24"/>
  <c r="C87" i="24"/>
  <c r="M159" i="24"/>
  <c r="N85" i="24"/>
  <c r="G2" i="493"/>
  <c r="E80" i="493"/>
  <c r="R87" i="24"/>
  <c r="R86" i="24"/>
  <c r="M88" i="24"/>
  <c r="Q89" i="24"/>
  <c r="E72" i="493"/>
  <c r="L83" i="24"/>
  <c r="E82" i="493"/>
  <c r="E34" i="493"/>
  <c r="E49" i="493"/>
  <c r="E77" i="493"/>
  <c r="E67" i="493"/>
  <c r="Q86" i="24"/>
  <c r="E23" i="493"/>
  <c r="N90" i="24"/>
  <c r="E44" i="493"/>
  <c r="E105" i="493"/>
  <c r="E21" i="493"/>
  <c r="R85" i="24"/>
  <c r="E57" i="493"/>
  <c r="E76" i="493"/>
  <c r="E84" i="493"/>
  <c r="Q91" i="24"/>
  <c r="U82" i="24"/>
  <c r="N86" i="24"/>
  <c r="E70" i="493"/>
  <c r="E85" i="493"/>
  <c r="C83" i="24"/>
  <c r="M176" i="24"/>
  <c r="C88" i="24"/>
  <c r="M90" i="24"/>
  <c r="T82" i="24"/>
  <c r="E54" i="493"/>
  <c r="R84" i="24"/>
  <c r="E26" i="493"/>
  <c r="E20" i="493"/>
  <c r="R91" i="24"/>
  <c r="C85" i="24"/>
  <c r="E6" i="493"/>
  <c r="L91" i="24"/>
  <c r="B83" i="24"/>
  <c r="E91" i="493"/>
  <c r="L86" i="24"/>
  <c r="E5" i="493"/>
  <c r="E2" i="493"/>
  <c r="E71" i="493"/>
  <c r="E96" i="493"/>
  <c r="E51" i="493"/>
  <c r="Q82" i="24"/>
  <c r="E101" i="493"/>
  <c r="Q90" i="24"/>
  <c r="E66" i="493"/>
  <c r="L84" i="24"/>
  <c r="C86" i="24"/>
  <c r="E95" i="493"/>
  <c r="E50" i="493"/>
  <c r="C84" i="24"/>
  <c r="B82" i="24"/>
  <c r="M169" i="24"/>
  <c r="Q83" i="24"/>
  <c r="E99" i="493"/>
  <c r="L87" i="24"/>
  <c r="T84" i="24"/>
  <c r="T85" i="24"/>
  <c r="E8" i="493"/>
  <c r="T91" i="24"/>
  <c r="E14" i="493"/>
  <c r="E22" i="493"/>
  <c r="M86" i="24"/>
  <c r="E86" i="493"/>
  <c r="E7" i="493"/>
  <c r="E81" i="493"/>
  <c r="E40" i="493"/>
  <c r="T90" i="24"/>
  <c r="N82" i="24"/>
  <c r="E69" i="493"/>
  <c r="E75" i="493"/>
  <c r="R82" i="24"/>
  <c r="E43" i="493"/>
  <c r="E61" i="493"/>
  <c r="E79" i="493"/>
  <c r="T83" i="24"/>
  <c r="E89" i="493"/>
  <c r="E25" i="493"/>
  <c r="E27" i="493"/>
  <c r="L82" i="24"/>
  <c r="E48" i="493"/>
  <c r="N91" i="24"/>
  <c r="M85" i="24"/>
  <c r="E63" i="493"/>
  <c r="E37" i="493"/>
  <c r="E59" i="493"/>
  <c r="E46" i="493"/>
  <c r="E100" i="493"/>
  <c r="E74" i="493"/>
  <c r="E32" i="493"/>
  <c r="E28" i="493"/>
  <c r="C82" i="24"/>
  <c r="L88" i="24"/>
  <c r="T89" i="24"/>
  <c r="E78" i="493"/>
  <c r="M165" i="24"/>
  <c r="Q88" i="24"/>
  <c r="E93" i="493"/>
  <c r="R89" i="24"/>
  <c r="L85" i="24"/>
  <c r="E97" i="493"/>
  <c r="E106" i="493"/>
  <c r="R88" i="24"/>
  <c r="E29" i="493"/>
  <c r="E56" i="493"/>
  <c r="T87" i="24"/>
  <c r="E45" i="493"/>
  <c r="E10" i="493"/>
  <c r="E73" i="493"/>
  <c r="E11" i="493"/>
  <c r="E3" i="493"/>
  <c r="E90" i="493"/>
  <c r="M84" i="24"/>
  <c r="E13" i="493"/>
  <c r="E52" i="493"/>
  <c r="M161" i="24"/>
  <c r="E17" i="493"/>
  <c r="R83" i="24"/>
  <c r="E18" i="493"/>
  <c r="E36" i="493"/>
  <c r="P90" i="24"/>
  <c r="E30" i="493"/>
  <c r="E42" i="493"/>
  <c r="N87" i="24"/>
  <c r="R90" i="24"/>
  <c r="N84" i="24"/>
  <c r="M82" i="24"/>
  <c r="E19" i="493"/>
  <c r="E94" i="493"/>
  <c r="E98" i="493"/>
  <c r="Q85" i="24"/>
  <c r="E4" i="493"/>
  <c r="Q87" i="24"/>
  <c r="T86" i="24"/>
  <c r="C90" i="24"/>
  <c r="M83" i="24"/>
  <c r="E47" i="493"/>
  <c r="E87" i="493"/>
  <c r="E55" i="493"/>
  <c r="N83" i="24"/>
  <c r="E62" i="493"/>
  <c r="M91" i="24"/>
  <c r="E16" i="493"/>
  <c r="E15" i="493"/>
  <c r="L90" i="24"/>
  <c r="E35" i="493"/>
  <c r="M89" i="24"/>
  <c r="E41" i="493"/>
  <c r="L89" i="24"/>
  <c r="E60" i="493"/>
  <c r="E39" i="493"/>
  <c r="E24" i="493"/>
  <c r="T81" i="24" l="1"/>
  <c r="K51" i="513" s="1"/>
  <c r="R81" i="24"/>
  <c r="P81" i="24"/>
  <c r="I50" i="513" s="1"/>
  <c r="N81" i="24"/>
  <c r="K50" i="513" s="1"/>
  <c r="H91" i="24"/>
  <c r="I91" i="24"/>
  <c r="H83" i="24"/>
  <c r="I83" i="24"/>
  <c r="H84" i="24"/>
  <c r="I84" i="24"/>
  <c r="H85" i="24"/>
  <c r="I85" i="24"/>
  <c r="H90" i="24"/>
  <c r="I90" i="24"/>
  <c r="H87" i="24"/>
  <c r="I87" i="24"/>
  <c r="H86" i="24"/>
  <c r="I86" i="24"/>
  <c r="H88" i="24"/>
  <c r="I88" i="24"/>
  <c r="H89" i="24"/>
  <c r="I89" i="24"/>
  <c r="I82" i="24"/>
  <c r="H82" i="24"/>
  <c r="F93" i="493"/>
  <c r="F41" i="493"/>
  <c r="F89" i="493"/>
  <c r="F65" i="493"/>
  <c r="F48" i="493"/>
  <c r="E82" i="24"/>
  <c r="G82" i="24"/>
  <c r="M178" i="24"/>
  <c r="H50" i="513"/>
  <c r="C50" i="513"/>
  <c r="F57" i="493"/>
  <c r="F87" i="493"/>
  <c r="F30" i="493"/>
  <c r="F59" i="493"/>
  <c r="E88" i="24"/>
  <c r="G88" i="24"/>
  <c r="F21" i="493"/>
  <c r="F3" i="493"/>
  <c r="F4" i="493"/>
  <c r="D82" i="24"/>
  <c r="F82" i="24"/>
  <c r="F6" i="493"/>
  <c r="F5" i="493"/>
  <c r="F52" i="493"/>
  <c r="E107" i="493"/>
  <c r="F2" i="493"/>
  <c r="F107" i="493" s="1"/>
  <c r="F88" i="493"/>
  <c r="G90" i="24"/>
  <c r="E90" i="24"/>
  <c r="F33" i="493"/>
  <c r="F55" i="493"/>
  <c r="F37" i="493"/>
  <c r="F56" i="493"/>
  <c r="F46" i="493"/>
  <c r="F98" i="493"/>
  <c r="F28" i="493"/>
  <c r="G85" i="24"/>
  <c r="E85" i="24"/>
  <c r="F85" i="493"/>
  <c r="F24" i="493"/>
  <c r="F96" i="493"/>
  <c r="S88" i="24"/>
  <c r="F70" i="493"/>
  <c r="G89" i="24"/>
  <c r="E89" i="24"/>
  <c r="F11" i="493"/>
  <c r="F67" i="493"/>
  <c r="G86" i="24"/>
  <c r="E86" i="24"/>
  <c r="F49" i="493"/>
  <c r="F40" i="493"/>
  <c r="F19" i="493"/>
  <c r="U81" i="24"/>
  <c r="F43" i="493"/>
  <c r="F82" i="493"/>
  <c r="S85" i="24"/>
  <c r="S91" i="24"/>
  <c r="F103" i="493"/>
  <c r="F58" i="493"/>
  <c r="F14" i="493"/>
  <c r="F81" i="493"/>
  <c r="F71" i="493"/>
  <c r="F97" i="493"/>
  <c r="S89" i="24"/>
  <c r="F73" i="493"/>
  <c r="F45" i="493"/>
  <c r="F60" i="493"/>
  <c r="F94" i="493"/>
  <c r="S90" i="24"/>
  <c r="C26" i="513"/>
  <c r="F104" i="493"/>
  <c r="F92" i="493"/>
  <c r="F77" i="493"/>
  <c r="F29" i="493"/>
  <c r="F78" i="493"/>
  <c r="F26" i="493"/>
  <c r="F80" i="493"/>
  <c r="F22" i="493"/>
  <c r="F69" i="493"/>
  <c r="F12" i="493"/>
  <c r="F62" i="493"/>
  <c r="G87" i="24"/>
  <c r="E87" i="24"/>
  <c r="F53" i="493"/>
  <c r="S86" i="24"/>
  <c r="S87" i="24"/>
  <c r="F16" i="493"/>
  <c r="F100" i="493"/>
  <c r="F74" i="493"/>
  <c r="F23" i="493"/>
  <c r="F79" i="493"/>
  <c r="F54" i="493"/>
  <c r="F90" i="493"/>
  <c r="F36" i="493"/>
  <c r="F95" i="493"/>
  <c r="F83" i="24"/>
  <c r="D83" i="24"/>
  <c r="F18" i="493"/>
  <c r="C34" i="513"/>
  <c r="E55" i="513" s="1"/>
  <c r="F8" i="493"/>
  <c r="F91" i="493"/>
  <c r="F68" i="493"/>
  <c r="F35" i="493"/>
  <c r="F86" i="493"/>
  <c r="S82" i="24"/>
  <c r="S81" i="24" s="1"/>
  <c r="E84" i="24"/>
  <c r="G84" i="24"/>
  <c r="F10" i="493"/>
  <c r="C31" i="513"/>
  <c r="M168" i="24"/>
  <c r="F99" i="493"/>
  <c r="F51" i="493"/>
  <c r="F20" i="493"/>
  <c r="F32" i="493"/>
  <c r="F42" i="493"/>
  <c r="F7" i="493"/>
  <c r="F61" i="493"/>
  <c r="G83" i="24"/>
  <c r="E83" i="24"/>
  <c r="F72" i="493"/>
  <c r="F25" i="493"/>
  <c r="F84" i="493"/>
  <c r="F9" i="493"/>
  <c r="F44" i="493"/>
  <c r="F101" i="493"/>
  <c r="F66" i="493"/>
  <c r="F63" i="493"/>
  <c r="F50" i="493"/>
  <c r="F34" i="493"/>
  <c r="F75" i="493"/>
  <c r="F105" i="493"/>
  <c r="S83" i="24"/>
  <c r="F47" i="493"/>
  <c r="F39" i="493"/>
  <c r="M180" i="24"/>
  <c r="C21" i="513" s="1"/>
  <c r="B59" i="513" s="1"/>
  <c r="F106" i="493"/>
  <c r="F76" i="493"/>
  <c r="F17" i="493"/>
  <c r="S84" i="24"/>
  <c r="F13" i="493"/>
  <c r="F15" i="493"/>
  <c r="F27" i="493"/>
  <c r="B15" i="24"/>
  <c r="B93" i="24"/>
  <c r="P92" i="24"/>
  <c r="Q84" i="24"/>
  <c r="T92" i="24"/>
  <c r="B92" i="24"/>
  <c r="C92" i="24"/>
  <c r="P91" i="24"/>
  <c r="L92" i="24"/>
  <c r="H92" i="24" l="1"/>
  <c r="I92" i="24"/>
  <c r="D92" i="24"/>
  <c r="N92" i="24"/>
  <c r="Q92" i="24"/>
  <c r="D93" i="24" l="1"/>
  <c r="M92" i="24"/>
  <c r="R92" i="24"/>
  <c r="S92" i="24" l="1"/>
  <c r="F92" i="24"/>
  <c r="G92" i="24"/>
  <c r="E92" i="24"/>
  <c r="B16" i="24"/>
  <c r="L93" i="24"/>
  <c r="H93" i="24" l="1"/>
  <c r="I93" i="24"/>
  <c r="F93" i="24"/>
  <c r="B17" i="24"/>
  <c r="T93" i="24"/>
  <c r="N93" i="24"/>
  <c r="Q93" i="24"/>
  <c r="C94" i="24"/>
  <c r="M93" i="24"/>
  <c r="R93" i="24"/>
  <c r="P93" i="24"/>
  <c r="C93" i="24"/>
  <c r="B94" i="24"/>
  <c r="L94" i="24"/>
  <c r="H94" i="24" l="1"/>
  <c r="I94" i="24"/>
  <c r="E93" i="24"/>
  <c r="G93" i="24"/>
  <c r="D94" i="24"/>
  <c r="S93" i="24"/>
  <c r="R94" i="24"/>
  <c r="B95" i="24"/>
  <c r="D95" i="24" l="1"/>
  <c r="Q94" i="24"/>
  <c r="T94" i="24"/>
  <c r="N94" i="24"/>
  <c r="P94" i="24"/>
  <c r="M94" i="24"/>
  <c r="F94" i="24" l="1"/>
  <c r="G94" i="24"/>
  <c r="E94" i="24"/>
  <c r="S94" i="24"/>
  <c r="B18" i="24"/>
  <c r="R95" i="24"/>
  <c r="B96" i="24"/>
  <c r="L95" i="24"/>
  <c r="C95" i="24"/>
  <c r="H95" i="24" l="1"/>
  <c r="I95" i="24"/>
  <c r="D96" i="24"/>
  <c r="N95" i="24"/>
  <c r="T95" i="24"/>
  <c r="P95" i="24"/>
  <c r="Q95" i="24"/>
  <c r="M95" i="24"/>
  <c r="E95" i="24" l="1"/>
  <c r="G95" i="24"/>
  <c r="S95" i="24"/>
  <c r="F95" i="24"/>
  <c r="B19" i="24"/>
  <c r="N96" i="24"/>
  <c r="L96" i="24"/>
  <c r="Q96" i="24"/>
  <c r="H96" i="24" l="1"/>
  <c r="I96" i="24"/>
  <c r="F96" i="24"/>
  <c r="B20" i="24"/>
  <c r="M97" i="24"/>
  <c r="T96" i="24"/>
  <c r="C96" i="24"/>
  <c r="R97" i="24"/>
  <c r="L97" i="24"/>
  <c r="R96" i="24"/>
  <c r="P96" i="24"/>
  <c r="N97" i="24"/>
  <c r="M96" i="24"/>
  <c r="P97" i="24"/>
  <c r="B97" i="24"/>
  <c r="H97" i="24" l="1"/>
  <c r="I97" i="24"/>
  <c r="G96" i="24"/>
  <c r="E96" i="24"/>
  <c r="S96" i="24"/>
  <c r="D97" i="24"/>
  <c r="C97" i="24"/>
  <c r="B98" i="24"/>
  <c r="D98" i="24" l="1"/>
  <c r="T97" i="24"/>
  <c r="Q97" i="24"/>
  <c r="S97" i="24" l="1"/>
  <c r="F97" i="24"/>
  <c r="G97" i="24"/>
  <c r="E97" i="24"/>
  <c r="B21" i="24"/>
  <c r="L98" i="24"/>
  <c r="P98" i="24"/>
  <c r="H98" i="24" l="1"/>
  <c r="I98" i="24"/>
  <c r="F98" i="24"/>
  <c r="B22" i="24"/>
  <c r="T98" i="24"/>
  <c r="C98" i="24"/>
  <c r="R99" i="24"/>
  <c r="Q98" i="24"/>
  <c r="B100" i="24"/>
  <c r="B99" i="24"/>
  <c r="C99" i="24"/>
  <c r="L99" i="24"/>
  <c r="R98" i="24"/>
  <c r="N98" i="24"/>
  <c r="M98" i="24"/>
  <c r="H99" i="24" l="1"/>
  <c r="I99" i="24"/>
  <c r="D99" i="24"/>
  <c r="S98" i="24"/>
  <c r="G98" i="24"/>
  <c r="E98" i="24"/>
  <c r="D100" i="24"/>
  <c r="P99" i="24"/>
  <c r="Q99" i="24"/>
  <c r="M99" i="24"/>
  <c r="N99" i="24"/>
  <c r="T99" i="24"/>
  <c r="S99" i="24" l="1"/>
  <c r="F99" i="24"/>
  <c r="G99" i="24"/>
  <c r="E99" i="24"/>
  <c r="B23" i="24"/>
  <c r="N100" i="24"/>
  <c r="T100" i="24"/>
  <c r="Q100" i="24"/>
  <c r="M100" i="24"/>
  <c r="L100" i="24"/>
  <c r="P100" i="24"/>
  <c r="B101" i="24"/>
  <c r="C100" i="24"/>
  <c r="R100" i="24"/>
  <c r="H100" i="24" l="1"/>
  <c r="I100" i="24"/>
  <c r="D101" i="24"/>
  <c r="F100" i="24"/>
  <c r="G100" i="24"/>
  <c r="E100" i="24"/>
  <c r="S100" i="24"/>
  <c r="B24" i="24"/>
  <c r="P101" i="24"/>
  <c r="M101" i="24"/>
  <c r="C101" i="24"/>
  <c r="L101" i="24"/>
  <c r="N101" i="24"/>
  <c r="T101" i="24"/>
  <c r="R101" i="24"/>
  <c r="Q101" i="24"/>
  <c r="H101" i="24" l="1"/>
  <c r="I101" i="24"/>
  <c r="F101" i="24"/>
  <c r="S101" i="24"/>
  <c r="E101" i="24"/>
  <c r="G101" i="24"/>
  <c r="B25" i="24"/>
  <c r="B102" i="24"/>
  <c r="L102" i="24"/>
  <c r="I102" i="24" l="1"/>
  <c r="H102" i="24"/>
  <c r="D102" i="24"/>
  <c r="B103" i="24"/>
  <c r="N102" i="24"/>
  <c r="M102" i="24"/>
  <c r="D103" i="24" l="1"/>
  <c r="R102" i="24"/>
  <c r="T102" i="24"/>
  <c r="P102" i="24"/>
  <c r="Q102" i="24"/>
  <c r="C102" i="24"/>
  <c r="F102" i="24" l="1"/>
  <c r="S102" i="24"/>
  <c r="E102" i="24"/>
  <c r="G102" i="24"/>
  <c r="B26" i="24"/>
  <c r="L103" i="24"/>
  <c r="B104" i="24"/>
  <c r="M103" i="24"/>
  <c r="R103" i="24"/>
  <c r="H103" i="24" l="1"/>
  <c r="I103" i="24"/>
  <c r="D104" i="24"/>
  <c r="T103" i="24"/>
  <c r="N103" i="24"/>
  <c r="Q103" i="24"/>
  <c r="C103" i="24"/>
  <c r="P103" i="24"/>
  <c r="S103" i="24" l="1"/>
  <c r="F103" i="24"/>
  <c r="E103" i="24"/>
  <c r="G103" i="24"/>
  <c r="B27" i="24"/>
  <c r="L104" i="24"/>
  <c r="H104" i="24" l="1"/>
  <c r="I104" i="24"/>
  <c r="F104" i="24"/>
  <c r="B28" i="24"/>
  <c r="B105" i="24"/>
  <c r="N105" i="24"/>
  <c r="B106" i="24"/>
  <c r="N104" i="24"/>
  <c r="M105" i="24"/>
  <c r="M104" i="24"/>
  <c r="R104" i="24"/>
  <c r="T104" i="24"/>
  <c r="T105" i="24"/>
  <c r="P104" i="24"/>
  <c r="L105" i="24"/>
  <c r="Q104" i="24"/>
  <c r="C104" i="24"/>
  <c r="C105" i="24"/>
  <c r="H105" i="24" l="1"/>
  <c r="I105" i="24"/>
  <c r="E104" i="24"/>
  <c r="G104" i="24"/>
  <c r="D105" i="24"/>
  <c r="S104" i="24"/>
  <c r="D106" i="24"/>
  <c r="Q105" i="24"/>
  <c r="R105" i="24"/>
  <c r="P105" i="24"/>
  <c r="S105" i="24" l="1"/>
  <c r="E105" i="24"/>
  <c r="G105" i="24"/>
  <c r="F105" i="24"/>
  <c r="B29" i="24"/>
  <c r="L106" i="24"/>
  <c r="H106" i="24" l="1"/>
  <c r="I106" i="24"/>
  <c r="F106" i="24"/>
  <c r="B30" i="24"/>
  <c r="T106" i="24"/>
  <c r="P107" i="24"/>
  <c r="B107" i="24"/>
  <c r="N106" i="24"/>
  <c r="M106" i="24"/>
  <c r="P106" i="24"/>
  <c r="M107" i="24"/>
  <c r="C106" i="24"/>
  <c r="L107" i="24"/>
  <c r="R106" i="24"/>
  <c r="Q106" i="24"/>
  <c r="H107" i="24" l="1"/>
  <c r="I107" i="24"/>
  <c r="E106" i="24"/>
  <c r="G106" i="24"/>
  <c r="S106" i="24"/>
  <c r="D107" i="24"/>
  <c r="B108" i="24"/>
  <c r="C107" i="24"/>
  <c r="T107" i="24"/>
  <c r="D108" i="24" l="1"/>
  <c r="R107" i="24"/>
  <c r="Q107" i="24"/>
  <c r="N107" i="24"/>
  <c r="E107" i="24" l="1"/>
  <c r="G107" i="24"/>
  <c r="S107" i="24"/>
  <c r="F107" i="24"/>
  <c r="B31" i="24"/>
  <c r="B109" i="24"/>
  <c r="M108" i="24"/>
  <c r="L108" i="24"/>
  <c r="C108" i="24"/>
  <c r="H108" i="24" l="1"/>
  <c r="I108" i="24"/>
  <c r="D109" i="24"/>
  <c r="R108" i="24"/>
  <c r="T108" i="24"/>
  <c r="P108" i="24"/>
  <c r="Q108" i="24"/>
  <c r="N108" i="24"/>
  <c r="F108" i="24" l="1"/>
  <c r="S108" i="24"/>
  <c r="G108" i="24"/>
  <c r="E108" i="24"/>
  <c r="B32" i="24"/>
  <c r="C109" i="24"/>
  <c r="B110" i="24"/>
  <c r="P109" i="24"/>
  <c r="L109" i="24"/>
  <c r="T109" i="24"/>
  <c r="H109" i="24" l="1"/>
  <c r="I109" i="24"/>
  <c r="D110" i="24"/>
  <c r="N109" i="24"/>
  <c r="Q109" i="24"/>
  <c r="R109" i="24"/>
  <c r="M109" i="24"/>
  <c r="S109" i="24" l="1"/>
  <c r="F109" i="24"/>
  <c r="G109" i="24"/>
  <c r="E109" i="24"/>
  <c r="B33" i="24"/>
  <c r="M110" i="24"/>
  <c r="L110" i="24"/>
  <c r="Q110" i="24"/>
  <c r="R110" i="24"/>
  <c r="H110" i="24" l="1"/>
  <c r="I110" i="24"/>
  <c r="F110" i="24"/>
  <c r="B34" i="24"/>
  <c r="B112" i="24"/>
  <c r="N111" i="24"/>
  <c r="C110" i="24"/>
  <c r="B111" i="24"/>
  <c r="P110" i="24"/>
  <c r="T110" i="24"/>
  <c r="N110" i="24"/>
  <c r="Q111" i="24"/>
  <c r="L111" i="24"/>
  <c r="H111" i="24" l="1"/>
  <c r="I111" i="24"/>
  <c r="D111" i="24"/>
  <c r="S110" i="24"/>
  <c r="G110" i="24"/>
  <c r="E110" i="24"/>
  <c r="D112" i="24"/>
  <c r="C111" i="24"/>
  <c r="P111" i="24"/>
  <c r="T111" i="24"/>
  <c r="M111" i="24"/>
  <c r="R111" i="24"/>
  <c r="S111" i="24" l="1"/>
  <c r="F111" i="24"/>
  <c r="G111" i="24"/>
  <c r="E111" i="24"/>
  <c r="B35" i="24"/>
  <c r="R112" i="24"/>
  <c r="B113" i="24"/>
  <c r="T112" i="24"/>
  <c r="N112" i="24"/>
  <c r="P112" i="24"/>
  <c r="L112" i="24"/>
  <c r="H112" i="24" l="1"/>
  <c r="I112" i="24"/>
  <c r="D113" i="24"/>
  <c r="M112" i="24"/>
  <c r="Q112" i="24"/>
  <c r="C112" i="24"/>
  <c r="F112" i="24" l="1"/>
  <c r="S112" i="24"/>
  <c r="E112" i="24"/>
  <c r="G112" i="24"/>
  <c r="B36" i="24"/>
  <c r="N113" i="24"/>
  <c r="L113" i="24"/>
  <c r="B114" i="24"/>
  <c r="H113" i="24" l="1"/>
  <c r="I113" i="24"/>
  <c r="D114" i="24"/>
  <c r="C113" i="24"/>
  <c r="Q113" i="24"/>
  <c r="R113" i="24"/>
  <c r="T113" i="24"/>
  <c r="P113" i="24"/>
  <c r="M113" i="24"/>
  <c r="G113" i="24" l="1"/>
  <c r="E113" i="24"/>
  <c r="S113" i="24"/>
  <c r="F113" i="24"/>
  <c r="B37" i="24"/>
  <c r="P114" i="24"/>
  <c r="L114" i="24"/>
  <c r="M114" i="24"/>
  <c r="I114" i="24" l="1"/>
  <c r="H114" i="24"/>
  <c r="F114" i="24"/>
  <c r="B38" i="24"/>
  <c r="B116" i="24"/>
  <c r="C114" i="24"/>
  <c r="R114" i="24"/>
  <c r="Q114" i="24"/>
  <c r="B115" i="24"/>
  <c r="T114" i="24"/>
  <c r="L115" i="24"/>
  <c r="N114" i="24"/>
  <c r="H115" i="24" l="1"/>
  <c r="I115" i="24"/>
  <c r="S114" i="24"/>
  <c r="G114" i="24"/>
  <c r="E114" i="24"/>
  <c r="D115" i="24"/>
  <c r="D116" i="24"/>
  <c r="P115" i="24"/>
  <c r="R115" i="24"/>
  <c r="T115" i="24"/>
  <c r="C115" i="24"/>
  <c r="M115" i="24"/>
  <c r="N115" i="24"/>
  <c r="Q115" i="24"/>
  <c r="G115" i="24" l="1"/>
  <c r="E115" i="24"/>
  <c r="S115" i="24"/>
  <c r="F115" i="24"/>
  <c r="B39" i="24"/>
  <c r="R116" i="24"/>
  <c r="L116" i="24"/>
  <c r="H116" i="24" l="1"/>
  <c r="I116" i="24"/>
  <c r="F116" i="24"/>
  <c r="B40" i="24"/>
  <c r="P116" i="24"/>
  <c r="Q117" i="24"/>
  <c r="Q116" i="24"/>
  <c r="N116" i="24"/>
  <c r="C116" i="24"/>
  <c r="B117" i="24"/>
  <c r="N117" i="24"/>
  <c r="T117" i="24"/>
  <c r="M116" i="24"/>
  <c r="B118" i="24"/>
  <c r="R117" i="24"/>
  <c r="L117" i="24"/>
  <c r="P117" i="24"/>
  <c r="T116" i="24"/>
  <c r="H117" i="24" l="1"/>
  <c r="I117" i="24"/>
  <c r="G116" i="24"/>
  <c r="E116" i="24"/>
  <c r="S116" i="24"/>
  <c r="D117" i="24"/>
  <c r="D118" i="24"/>
  <c r="C117" i="24"/>
  <c r="M117" i="24"/>
  <c r="E117" i="24" l="1"/>
  <c r="G117" i="24"/>
  <c r="S117" i="24"/>
  <c r="F117" i="24"/>
  <c r="B41" i="24"/>
  <c r="P118" i="24"/>
  <c r="T118" i="24"/>
  <c r="B119" i="24"/>
  <c r="N118" i="24"/>
  <c r="L118" i="24"/>
  <c r="M118" i="24"/>
  <c r="H118" i="24" l="1"/>
  <c r="I118" i="24"/>
  <c r="D119" i="24"/>
  <c r="C118" i="24"/>
  <c r="R118" i="24"/>
  <c r="Q118" i="24"/>
  <c r="E118" i="24" l="1"/>
  <c r="G118" i="24"/>
  <c r="F118" i="24"/>
  <c r="S118" i="24"/>
  <c r="B42" i="24"/>
  <c r="L119" i="24"/>
  <c r="R119" i="24"/>
  <c r="B120" i="24"/>
  <c r="H119" i="24" l="1"/>
  <c r="I119" i="24"/>
  <c r="D120" i="24"/>
  <c r="N119" i="24"/>
  <c r="C119" i="24"/>
  <c r="T119" i="24"/>
  <c r="Q119" i="24"/>
  <c r="M119" i="24"/>
  <c r="P119" i="24"/>
  <c r="E119" i="24" l="1"/>
  <c r="G119" i="24"/>
  <c r="F119" i="24"/>
  <c r="S119" i="24"/>
  <c r="B43" i="24"/>
  <c r="T120" i="24"/>
  <c r="M120" i="24"/>
  <c r="B121" i="24"/>
  <c r="N120" i="24"/>
  <c r="P120" i="24"/>
  <c r="L120" i="24"/>
  <c r="C120" i="24"/>
  <c r="Q120" i="24"/>
  <c r="I120" i="24" l="1"/>
  <c r="H120" i="24"/>
  <c r="D121" i="24"/>
  <c r="F120" i="24"/>
  <c r="E120" i="24"/>
  <c r="G120" i="24"/>
  <c r="S120" i="24"/>
  <c r="B44" i="24"/>
  <c r="R120" i="24"/>
  <c r="L121" i="24"/>
  <c r="M121" i="24"/>
  <c r="H121" i="24" l="1"/>
  <c r="I121" i="24"/>
  <c r="F121" i="24"/>
  <c r="B45" i="24"/>
  <c r="B122" i="24"/>
  <c r="C121" i="24"/>
  <c r="N121" i="24"/>
  <c r="Q121" i="24"/>
  <c r="R121" i="24"/>
  <c r="P121" i="24"/>
  <c r="L122" i="24"/>
  <c r="T122" i="24"/>
  <c r="T121" i="24"/>
  <c r="H122" i="24" l="1"/>
  <c r="I122" i="24"/>
  <c r="E121" i="24"/>
  <c r="G121" i="24"/>
  <c r="D122" i="24"/>
  <c r="S121" i="24"/>
  <c r="B123" i="24"/>
  <c r="C122" i="24"/>
  <c r="M122" i="24"/>
  <c r="D123" i="24" l="1"/>
  <c r="Q122" i="24"/>
  <c r="P122" i="24"/>
  <c r="N122" i="24"/>
  <c r="R122" i="24"/>
  <c r="E122" i="24" l="1"/>
  <c r="G122" i="24"/>
  <c r="S122" i="24"/>
  <c r="F122" i="24"/>
  <c r="B46" i="24"/>
  <c r="B124" i="24"/>
  <c r="T123" i="24"/>
  <c r="L123" i="24"/>
  <c r="Q123" i="24"/>
  <c r="P123" i="24"/>
  <c r="H123" i="24" l="1"/>
  <c r="I123" i="24"/>
  <c r="D124" i="24"/>
  <c r="M123" i="24"/>
  <c r="C123" i="24"/>
  <c r="N123" i="24"/>
  <c r="R123" i="24"/>
  <c r="F123" i="24" l="1"/>
  <c r="S123" i="24"/>
  <c r="G123" i="24"/>
  <c r="E123" i="24"/>
  <c r="B47" i="24"/>
  <c r="M124" i="24"/>
  <c r="L124" i="24"/>
  <c r="T124" i="24"/>
  <c r="B125" i="24"/>
  <c r="P124" i="24"/>
  <c r="R124" i="24"/>
  <c r="H124" i="24" l="1"/>
  <c r="I124" i="24"/>
  <c r="D125" i="24"/>
  <c r="C124" i="24"/>
  <c r="Q124" i="24"/>
  <c r="N124" i="24"/>
  <c r="S124" i="24" l="1"/>
  <c r="G124" i="24"/>
  <c r="E124" i="24"/>
  <c r="F124" i="24"/>
  <c r="B48" i="24"/>
  <c r="L125" i="24"/>
  <c r="B126" i="24"/>
  <c r="H125" i="24" l="1"/>
  <c r="I125" i="24"/>
  <c r="D126" i="24"/>
  <c r="N125" i="24"/>
  <c r="C125" i="24"/>
  <c r="P125" i="24"/>
  <c r="T125" i="24"/>
  <c r="Q125" i="24"/>
  <c r="M125" i="24"/>
  <c r="R125" i="24"/>
  <c r="S125" i="24" l="1"/>
  <c r="G125" i="24"/>
  <c r="E125" i="24"/>
  <c r="F125" i="24"/>
  <c r="B49" i="24"/>
  <c r="M126" i="24"/>
  <c r="B127" i="24"/>
  <c r="C126" i="24"/>
  <c r="L126" i="24"/>
  <c r="P126" i="24"/>
  <c r="Q126" i="24"/>
  <c r="H126" i="24" l="1"/>
  <c r="I126" i="24"/>
  <c r="D127" i="24"/>
  <c r="N126" i="24"/>
  <c r="R126" i="24"/>
  <c r="T126" i="24"/>
  <c r="F126" i="24" l="1"/>
  <c r="S126" i="24"/>
  <c r="G126" i="24"/>
  <c r="E126" i="24"/>
  <c r="B50" i="24"/>
  <c r="L127" i="24"/>
  <c r="H127" i="24" l="1"/>
  <c r="I127" i="24"/>
  <c r="F127" i="24"/>
  <c r="B51" i="24"/>
  <c r="M127" i="24"/>
  <c r="B128" i="24"/>
  <c r="Q127" i="24"/>
  <c r="P127" i="24"/>
  <c r="N127" i="24"/>
  <c r="R127" i="24"/>
  <c r="L128" i="24"/>
  <c r="T127" i="24"/>
  <c r="C127" i="24"/>
  <c r="H128" i="24" l="1"/>
  <c r="I128" i="24"/>
  <c r="G127" i="24"/>
  <c r="E127" i="24"/>
  <c r="S127" i="24"/>
  <c r="D128" i="24"/>
  <c r="M128" i="24"/>
  <c r="P128" i="24"/>
  <c r="Q128" i="24"/>
  <c r="B129" i="24"/>
  <c r="D129" i="24" l="1"/>
  <c r="N128" i="24"/>
  <c r="C128" i="24"/>
  <c r="T128" i="24"/>
  <c r="R128" i="24"/>
  <c r="S128" i="24" l="1"/>
  <c r="F128" i="24"/>
  <c r="E128" i="24"/>
  <c r="G128" i="24"/>
  <c r="B52" i="24"/>
  <c r="M129" i="24"/>
  <c r="L129" i="24"/>
  <c r="H129" i="24" l="1"/>
  <c r="I129" i="24"/>
  <c r="F129" i="24"/>
  <c r="B53" i="24"/>
  <c r="B130" i="24"/>
  <c r="Q129" i="24"/>
  <c r="R129" i="24"/>
  <c r="N129" i="24"/>
  <c r="P129" i="24"/>
  <c r="L130" i="24"/>
  <c r="T129" i="24"/>
  <c r="C129" i="24"/>
  <c r="H130" i="24" l="1"/>
  <c r="I130" i="24"/>
  <c r="G129" i="24"/>
  <c r="E129" i="24"/>
  <c r="S129" i="24"/>
  <c r="D130" i="24"/>
  <c r="Q130" i="24"/>
  <c r="C130" i="24"/>
  <c r="B131" i="24"/>
  <c r="M130" i="24"/>
  <c r="R130" i="24"/>
  <c r="P130" i="24"/>
  <c r="D131" i="24" l="1"/>
  <c r="T130" i="24"/>
  <c r="N130" i="24"/>
  <c r="S130" i="24" l="1"/>
  <c r="F130" i="24"/>
  <c r="G130" i="24"/>
  <c r="E130" i="24"/>
  <c r="B54" i="24"/>
  <c r="M131" i="24"/>
  <c r="N131" i="24"/>
  <c r="Q131" i="24"/>
  <c r="C131" i="24"/>
  <c r="L131" i="24"/>
  <c r="T131" i="24"/>
  <c r="R131" i="24"/>
  <c r="H131" i="24" l="1"/>
  <c r="I131" i="24"/>
  <c r="E131" i="24"/>
  <c r="G131" i="24"/>
  <c r="F131" i="24"/>
  <c r="S131" i="24"/>
  <c r="B55" i="24"/>
  <c r="P131" i="24"/>
  <c r="B132" i="24"/>
  <c r="L132" i="24"/>
  <c r="H132" i="24" l="1"/>
  <c r="I132" i="24"/>
  <c r="D132" i="24"/>
  <c r="P132" i="24"/>
  <c r="Q132" i="24"/>
  <c r="B133" i="24"/>
  <c r="D133" i="24" l="1"/>
  <c r="M132" i="24"/>
  <c r="C132" i="24"/>
  <c r="T132" i="24"/>
  <c r="R132" i="24"/>
  <c r="N132" i="24"/>
  <c r="S132" i="24" l="1"/>
  <c r="E132" i="24"/>
  <c r="G132" i="24"/>
  <c r="F132" i="24"/>
  <c r="B56" i="24"/>
  <c r="L133" i="24"/>
  <c r="C133" i="24"/>
  <c r="T133" i="24"/>
  <c r="Q133" i="24"/>
  <c r="H133" i="24" l="1"/>
  <c r="I133" i="24"/>
  <c r="S133" i="24"/>
  <c r="E133" i="24"/>
  <c r="G133" i="24"/>
  <c r="F133" i="24"/>
  <c r="B57" i="24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L134" i="24"/>
  <c r="R133" i="24"/>
  <c r="B134" i="24"/>
  <c r="P133" i="24"/>
  <c r="M133" i="24"/>
  <c r="N133" i="24"/>
  <c r="T134" i="24"/>
  <c r="H134" i="24" l="1"/>
  <c r="I134" i="24"/>
  <c r="D134" i="24"/>
  <c r="M134" i="24"/>
  <c r="B135" i="24"/>
  <c r="N134" i="24"/>
  <c r="D135" i="24" l="1"/>
  <c r="C134" i="24"/>
  <c r="Q134" i="24"/>
  <c r="P134" i="24"/>
  <c r="R134" i="24"/>
  <c r="F134" i="24" l="1"/>
  <c r="S134" i="24"/>
  <c r="G134" i="24"/>
  <c r="E134" i="24"/>
  <c r="P135" i="24"/>
  <c r="B136" i="24"/>
  <c r="L135" i="24"/>
  <c r="H135" i="24" l="1"/>
  <c r="I135" i="24"/>
  <c r="D136" i="24"/>
  <c r="Q135" i="24"/>
  <c r="N135" i="24"/>
  <c r="T135" i="24"/>
  <c r="R135" i="24"/>
  <c r="M135" i="24"/>
  <c r="C135" i="24"/>
  <c r="S135" i="24" l="1"/>
  <c r="F135" i="24"/>
  <c r="G135" i="24"/>
  <c r="E135" i="24"/>
  <c r="C136" i="24"/>
  <c r="Q136" i="24"/>
  <c r="L136" i="24"/>
  <c r="B137" i="24"/>
  <c r="P136" i="24"/>
  <c r="H136" i="24" l="1"/>
  <c r="I136" i="24"/>
  <c r="D137" i="24"/>
  <c r="M136" i="24"/>
  <c r="N136" i="24"/>
  <c r="R136" i="24"/>
  <c r="T136" i="24"/>
  <c r="F136" i="24" l="1"/>
  <c r="S136" i="24"/>
  <c r="G136" i="24"/>
  <c r="E136" i="24"/>
  <c r="B138" i="24"/>
  <c r="L137" i="24"/>
  <c r="H137" i="24" l="1"/>
  <c r="I137" i="24"/>
  <c r="D138" i="24"/>
  <c r="N137" i="24"/>
  <c r="M137" i="24"/>
  <c r="Q137" i="24"/>
  <c r="R137" i="24"/>
  <c r="T137" i="24"/>
  <c r="P137" i="24"/>
  <c r="C137" i="24"/>
  <c r="S137" i="24" l="1"/>
  <c r="E137" i="24"/>
  <c r="G137" i="24"/>
  <c r="F137" i="24"/>
  <c r="L138" i="24"/>
  <c r="M138" i="24"/>
  <c r="N138" i="24"/>
  <c r="B139" i="24"/>
  <c r="C138" i="24"/>
  <c r="P138" i="24"/>
  <c r="I138" i="24" l="1"/>
  <c r="H138" i="24"/>
  <c r="D139" i="24"/>
  <c r="R138" i="24"/>
  <c r="Q138" i="24"/>
  <c r="T138" i="24"/>
  <c r="S138" i="24" l="1"/>
  <c r="E138" i="24"/>
  <c r="G138" i="24"/>
  <c r="F138" i="24"/>
  <c r="L139" i="24"/>
  <c r="H139" i="24" l="1"/>
  <c r="I139" i="24"/>
  <c r="F139" i="24"/>
  <c r="T139" i="24"/>
  <c r="L140" i="24"/>
  <c r="N139" i="24"/>
  <c r="M140" i="24"/>
  <c r="B140" i="24"/>
  <c r="C139" i="24"/>
  <c r="P139" i="24"/>
  <c r="M139" i="24"/>
  <c r="R139" i="24"/>
  <c r="Q139" i="24"/>
  <c r="H140" i="24" l="1"/>
  <c r="I140" i="24"/>
  <c r="S139" i="24"/>
  <c r="G139" i="24"/>
  <c r="E139" i="24"/>
  <c r="D140" i="24"/>
  <c r="Q140" i="24"/>
  <c r="N140" i="24"/>
  <c r="C140" i="24"/>
  <c r="P140" i="24"/>
  <c r="R140" i="24"/>
  <c r="T140" i="24"/>
  <c r="B141" i="24"/>
  <c r="D141" i="24" l="1"/>
  <c r="S140" i="24"/>
  <c r="G140" i="24"/>
  <c r="E140" i="24"/>
  <c r="F140" i="24"/>
  <c r="L141" i="24"/>
  <c r="H141" i="24" l="1"/>
  <c r="I141" i="24"/>
  <c r="F141" i="24"/>
  <c r="R141" i="24"/>
  <c r="Q141" i="24"/>
  <c r="C141" i="24"/>
  <c r="P141" i="24"/>
  <c r="N141" i="24"/>
  <c r="T141" i="24"/>
  <c r="T142" i="24"/>
  <c r="B143" i="24"/>
  <c r="N142" i="24"/>
  <c r="B142" i="24"/>
  <c r="L142" i="24"/>
  <c r="M141" i="24"/>
  <c r="H142" i="24" l="1"/>
  <c r="I142" i="24"/>
  <c r="E141" i="24"/>
  <c r="G141" i="24"/>
  <c r="D142" i="24"/>
  <c r="S141" i="24"/>
  <c r="D143" i="24"/>
  <c r="M142" i="24"/>
  <c r="Q142" i="24"/>
  <c r="C142" i="24"/>
  <c r="R142" i="24"/>
  <c r="P142" i="24"/>
  <c r="F142" i="24" l="1"/>
  <c r="S142" i="24"/>
  <c r="E142" i="24"/>
  <c r="G142" i="24"/>
  <c r="L143" i="24"/>
  <c r="H143" i="24" l="1"/>
  <c r="I143" i="24"/>
  <c r="F143" i="24"/>
  <c r="Q143" i="24"/>
  <c r="P143" i="24"/>
  <c r="T143" i="24"/>
  <c r="B144" i="24"/>
  <c r="L144" i="24"/>
  <c r="N143" i="24"/>
  <c r="B145" i="24"/>
  <c r="R143" i="24"/>
  <c r="C143" i="24"/>
  <c r="M143" i="24"/>
  <c r="I144" i="24" l="1"/>
  <c r="H144" i="24"/>
  <c r="S143" i="24"/>
  <c r="D144" i="24"/>
  <c r="E143" i="24"/>
  <c r="G143" i="24"/>
  <c r="R144" i="24"/>
  <c r="P144" i="24"/>
  <c r="D145" i="24" l="1"/>
  <c r="Q144" i="24"/>
  <c r="T144" i="24"/>
  <c r="C144" i="24"/>
  <c r="N144" i="24"/>
  <c r="M144" i="24"/>
  <c r="E144" i="24" l="1"/>
  <c r="G144" i="24"/>
  <c r="F144" i="24"/>
  <c r="S144" i="24"/>
  <c r="L145" i="24"/>
  <c r="H145" i="24" l="1"/>
  <c r="I145" i="24"/>
  <c r="F145" i="24"/>
  <c r="T145" i="24"/>
  <c r="C146" i="24"/>
  <c r="C145" i="24"/>
  <c r="P146" i="24"/>
  <c r="N145" i="24"/>
  <c r="B147" i="24"/>
  <c r="B146" i="24"/>
  <c r="P145" i="24"/>
  <c r="M145" i="24"/>
  <c r="R145" i="24"/>
  <c r="R146" i="24"/>
  <c r="Q145" i="24"/>
  <c r="L146" i="24"/>
  <c r="H146" i="24" l="1"/>
  <c r="I146" i="24"/>
  <c r="E145" i="24"/>
  <c r="G145" i="24"/>
  <c r="D146" i="24"/>
  <c r="S145" i="24"/>
  <c r="D147" i="24"/>
  <c r="M146" i="24"/>
  <c r="Q146" i="24"/>
  <c r="T146" i="24"/>
  <c r="N146" i="24"/>
  <c r="S146" i="24" l="1"/>
  <c r="G146" i="24"/>
  <c r="E146" i="24"/>
  <c r="F146" i="24"/>
  <c r="Q147" i="24"/>
  <c r="P147" i="24"/>
  <c r="L147" i="24"/>
  <c r="H147" i="24" l="1"/>
  <c r="I147" i="24"/>
  <c r="F147" i="24"/>
  <c r="Q148" i="24"/>
  <c r="N147" i="24"/>
  <c r="C147" i="24"/>
  <c r="M147" i="24"/>
  <c r="B148" i="24"/>
  <c r="R147" i="24"/>
  <c r="T148" i="24"/>
  <c r="L148" i="24"/>
  <c r="C148" i="24"/>
  <c r="N148" i="24"/>
  <c r="R148" i="24"/>
  <c r="T147" i="24"/>
  <c r="H148" i="24" l="1"/>
  <c r="I148" i="24"/>
  <c r="G147" i="24"/>
  <c r="E147" i="24"/>
  <c r="D148" i="24"/>
  <c r="S147" i="24"/>
  <c r="B149" i="24"/>
  <c r="D149" i="24" l="1"/>
  <c r="M148" i="24"/>
  <c r="P148" i="24"/>
  <c r="F148" i="24" l="1"/>
  <c r="E148" i="24"/>
  <c r="G148" i="24"/>
  <c r="S148" i="24"/>
  <c r="L149" i="24"/>
  <c r="B150" i="24"/>
  <c r="H149" i="24" l="1"/>
  <c r="I149" i="24"/>
  <c r="D150" i="24"/>
  <c r="P149" i="24"/>
  <c r="Q149" i="24"/>
  <c r="C149" i="24"/>
  <c r="R149" i="24"/>
  <c r="N149" i="24"/>
  <c r="M149" i="24"/>
  <c r="T149" i="24"/>
  <c r="F149" i="24" l="1"/>
  <c r="S149" i="24"/>
  <c r="E149" i="24"/>
  <c r="G149" i="24"/>
  <c r="T150" i="24"/>
  <c r="L150" i="24"/>
  <c r="C150" i="24"/>
  <c r="H150" i="24" l="1"/>
  <c r="I150" i="24"/>
  <c r="F150" i="24"/>
  <c r="G150" i="24"/>
  <c r="E150" i="24"/>
  <c r="S150" i="24"/>
  <c r="T151" i="24"/>
  <c r="P150" i="24"/>
  <c r="Q150" i="24"/>
  <c r="M150" i="24"/>
  <c r="N151" i="24"/>
  <c r="B151" i="24"/>
  <c r="R151" i="24"/>
  <c r="L151" i="24"/>
  <c r="N150" i="24"/>
  <c r="B152" i="24"/>
  <c r="R150" i="24"/>
  <c r="H151" i="24" l="1"/>
  <c r="I151" i="24"/>
  <c r="D151" i="24"/>
  <c r="D152" i="24"/>
  <c r="P151" i="24"/>
  <c r="C151" i="24"/>
  <c r="Q151" i="24"/>
  <c r="M151" i="24"/>
  <c r="S151" i="24" l="1"/>
  <c r="F151" i="24"/>
  <c r="G151" i="24"/>
  <c r="E151" i="24"/>
  <c r="L152" i="24"/>
  <c r="R152" i="24"/>
  <c r="P152" i="24"/>
  <c r="B153" i="24"/>
  <c r="H152" i="24" l="1"/>
  <c r="I152" i="24"/>
  <c r="D153" i="24"/>
  <c r="M152" i="24"/>
  <c r="T152" i="24"/>
  <c r="Q152" i="24"/>
  <c r="C152" i="24"/>
  <c r="N152" i="24"/>
  <c r="F152" i="24" l="1"/>
  <c r="G152" i="24"/>
  <c r="E152" i="24"/>
  <c r="S152" i="24"/>
  <c r="L153" i="24"/>
  <c r="P153" i="24"/>
  <c r="Q153" i="24"/>
  <c r="R153" i="24"/>
  <c r="C153" i="24"/>
  <c r="H153" i="24" l="1"/>
  <c r="I153" i="24"/>
  <c r="G153" i="24"/>
  <c r="E153" i="24"/>
  <c r="F153" i="24"/>
  <c r="N153" i="24"/>
  <c r="N154" i="24"/>
  <c r="M153" i="24"/>
  <c r="B154" i="24"/>
  <c r="T153" i="24"/>
  <c r="L154" i="24"/>
  <c r="H154" i="24" l="1"/>
  <c r="I154" i="24"/>
  <c r="D154" i="24"/>
  <c r="S153" i="24"/>
  <c r="B155" i="24"/>
  <c r="D155" i="24" l="1"/>
  <c r="C154" i="24"/>
  <c r="R154" i="24"/>
  <c r="M154" i="24"/>
  <c r="P154" i="24"/>
  <c r="Q154" i="24"/>
  <c r="T154" i="24"/>
  <c r="F154" i="24" l="1"/>
  <c r="G154" i="24"/>
  <c r="E154" i="24"/>
  <c r="S154" i="24"/>
  <c r="L155" i="24"/>
  <c r="P155" i="24"/>
  <c r="N155" i="24"/>
  <c r="R155" i="24"/>
  <c r="Q155" i="24"/>
  <c r="H155" i="24" l="1"/>
  <c r="I155" i="24"/>
  <c r="F155" i="24"/>
  <c r="Q156" i="24"/>
  <c r="T155" i="24"/>
  <c r="C155" i="24"/>
  <c r="B156" i="24"/>
  <c r="M155" i="24"/>
  <c r="L156" i="24"/>
  <c r="H156" i="24" l="1"/>
  <c r="I156" i="24"/>
  <c r="S155" i="24"/>
  <c r="D156" i="24"/>
  <c r="G155" i="24"/>
  <c r="E155" i="24"/>
  <c r="B157" i="24"/>
  <c r="R156" i="24"/>
  <c r="M156" i="24"/>
  <c r="D157" i="24" l="1"/>
  <c r="N156" i="24"/>
  <c r="C156" i="24"/>
  <c r="P156" i="24"/>
  <c r="T156" i="24"/>
  <c r="S156" i="24" l="1"/>
  <c r="F156" i="24"/>
  <c r="E156" i="24"/>
  <c r="G156" i="24"/>
  <c r="T157" i="24"/>
  <c r="L157" i="24"/>
  <c r="H157" i="24" l="1"/>
  <c r="I157" i="24"/>
  <c r="F157" i="24"/>
  <c r="S157" i="24"/>
  <c r="N157" i="24"/>
  <c r="M157" i="24"/>
  <c r="R157" i="24"/>
  <c r="C157" i="24"/>
  <c r="P157" i="24"/>
  <c r="Q157" i="24"/>
  <c r="E157" i="24" l="1"/>
  <c r="G157" i="24"/>
</calcChain>
</file>

<file path=xl/sharedStrings.xml><?xml version="1.0" encoding="utf-8"?>
<sst xmlns="http://schemas.openxmlformats.org/spreadsheetml/2006/main" count="72" uniqueCount="67">
  <si>
    <t>Пломба</t>
  </si>
  <si>
    <t>Номер контейнера</t>
  </si>
  <si>
    <t>Объем номинальный</t>
  </si>
  <si>
    <t>Количество пачек</t>
  </si>
  <si>
    <t>Порода дерева</t>
  </si>
  <si>
    <t>Вес  контейнера тара</t>
  </si>
  <si>
    <t>Вес нетто</t>
  </si>
  <si>
    <t>Вес брутто</t>
  </si>
  <si>
    <t>Сумма</t>
  </si>
  <si>
    <t>№</t>
  </si>
  <si>
    <t>Дата отгрузочной спецификации</t>
  </si>
  <si>
    <t>Отгрузочная спецификация №</t>
  </si>
  <si>
    <t>Инвойс №</t>
  </si>
  <si>
    <t>Дата инвойса</t>
  </si>
  <si>
    <t>Name list</t>
  </si>
  <si>
    <t>Сопроводительный документ №</t>
  </si>
  <si>
    <t>Buyer/Покупатель</t>
  </si>
  <si>
    <t>№ Contract/№ контракта</t>
  </si>
  <si>
    <t>Date of Contract/Дата контракта</t>
  </si>
  <si>
    <t>ДТ</t>
  </si>
  <si>
    <t>Consignee/Грузополучатель:</t>
  </si>
  <si>
    <t>Adress/Адрес:</t>
  </si>
  <si>
    <t>Notify/Уведомить:</t>
  </si>
  <si>
    <t xml:space="preserve">Adress/По Адресу: </t>
  </si>
  <si>
    <t>Number of containers/кол-во контейнеров (шт)</t>
  </si>
  <si>
    <t>Port of loading/Станция отправления</t>
  </si>
  <si>
    <t>Port of  delivery/Место доставки</t>
  </si>
  <si>
    <t>Method of sending/Способ отправки</t>
  </si>
  <si>
    <t>Manufacturer/Производитель</t>
  </si>
  <si>
    <t>Product description/Описание товара</t>
  </si>
  <si>
    <t>Shipper/Грузотправитель</t>
  </si>
  <si>
    <t>Dimension</t>
  </si>
  <si>
    <t>Grade</t>
  </si>
  <si>
    <t>Name of list</t>
  </si>
  <si>
    <t>Дата VGM</t>
  </si>
  <si>
    <t>№ VGM</t>
  </si>
  <si>
    <t>Tel/Телефон:</t>
  </si>
  <si>
    <t>Volume, m3</t>
  </si>
  <si>
    <t>Total</t>
  </si>
  <si>
    <t>Amount</t>
  </si>
  <si>
    <t>-</t>
  </si>
  <si>
    <t>SUITE C, LEVEL 7, WORLD TRUST TOWER, 50 STANLEY STREET, CENTRAL, HONG KONG</t>
  </si>
  <si>
    <t>pieces,</t>
  </si>
  <si>
    <t>to</t>
  </si>
  <si>
    <t>Номер</t>
  </si>
  <si>
    <t>Описание товара</t>
  </si>
  <si>
    <t>Код товара по
ТН ВЭД ЕАЭС</t>
  </si>
  <si>
    <t>Количество мест
и вид упаковки</t>
  </si>
  <si>
    <t>Количество
товаров</t>
  </si>
  <si>
    <t>ООО Лес-Инвест / LLC Les-Invest</t>
  </si>
  <si>
    <t>167000, Республика Коми, г. Сыктывкар, ул. 1-ая Промышленная, 72 / 167000, Republic of Komi, Syktyvkar, st. 1st Industrial, 72</t>
  </si>
  <si>
    <t>ИНН</t>
  </si>
  <si>
    <t>КПП</t>
  </si>
  <si>
    <t>1231-1306</t>
  </si>
  <si>
    <t>RZZU0016092,RZZU0006772,RZZU0038342,RZZU0006094,RZZU0037027,RZZU0002490,RZZU0001256,FELU1515544,RZZU0038337,RZZU0038701,RZZU0011465,RZZU0036822,RZZU0001317,RZZU0001955,RZZU0036653,RZZU0001301,RZZU0001750,RZZU0037222,RZZU0009426,RZZU0038928,CRSU9316151,RZZU0037367,RZZU0025089,RZZU0001786,RZZU0027672,RZZU0023229,RZZU0011146,RZZU0014248,RZZU0037156,RZZU0018881,RZZU0012266,RZZU0027348,RZZU0010920,RZZU0037325,RZZU0010659,RZZU0010216,RZZU0016718,RZZU0037140,RZZU0003773,RZZU0017761,RZZU0037182,RZZU0036993,RZZU0009977,RZZU0001472,RZZU0037346,RZZU0037304,RZZU0037351,RZZU0037979,RZZU0011681,SEKU5557836,SEKU5558149,RZZU0036951,RZZU0036967,RZZU0013489,CXDU1134685,RZZU0006598,RZZU0037080,RZZU0002340,SEKU5563206,RZZU0003618,RZZU0000218,RZZU0002360,RZZU0006601,RZZU0026763,RZZU0002144,RZZU0027332,RZZU0037454,RZZU0037330,CXDU1678890,CXDU1041242,RZZU0001554,RZZU0027380,RZZU0036669,CXDU1151065,RZZU0025746,RZZU0036648</t>
  </si>
  <si>
    <t>Syktyvkar,Russia</t>
  </si>
  <si>
    <t>Railway</t>
  </si>
  <si>
    <t>Size</t>
  </si>
  <si>
    <t>Осталось</t>
  </si>
  <si>
    <t>Итого</t>
  </si>
  <si>
    <t>Price</t>
  </si>
  <si>
    <t>Species</t>
  </si>
  <si>
    <t>Номер вагона</t>
  </si>
  <si>
    <t>Номер СМГС</t>
  </si>
  <si>
    <t>ФСС</t>
  </si>
  <si>
    <t>Погружено ЯЛП</t>
  </si>
  <si>
    <t>Погружено 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</si>
</sst>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0_р_._-;\-* #,##0.000_р_._-;_-* &quot;-&quot;??_р_._-;_-@_-"/>
    <numFmt numFmtId="167" formatCode="_-* #,##0.000\ _₽_-;\-* #,##0.000\ _₽_-;_-* &quot;-&quot;??\ _₽_-;_-@_-"/>
    <numFmt numFmtId="168" formatCode="0.000"/>
    <numFmt numFmtId="169" formatCode="_-* #,##0\ _₽_-;\-* #,##0\ _₽_-;_-* &quot;-&quot;??\ _₽_-;_-@_-"/>
    <numFmt numFmtId="170" formatCode="_-* #,##0.00\ _₽_-;\-* #,##0.00\ _₽_-;_-* &quot;-&quot;???\ _₽_-;_-@_-"/>
    <numFmt numFmtId="171" formatCode="_-[$$-1009]* #,##0.00_-;\-[$$-1009]* #,##0.00_-;_-[$$-1009]* &quot;-&quot;??_-;_-@_-"/>
    <numFmt numFmtId="172" formatCode="_-* #,##0.000\ _₽_-;\-* #,##0.000\ _₽_-;_-* &quot;-&quot;???\ _₽_-;_-@_-"/>
  </numFmts>
  <fonts count="3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sz val="16"/>
      <name val="Arial"/>
      <family val="2"/>
      <charset val="204"/>
    </font>
    <font>
      <b/>
      <sz val="16"/>
      <color theme="1"/>
      <name val="Arial Black"/>
      <family val="2"/>
      <charset val="204"/>
    </font>
    <font>
      <sz val="16"/>
      <color theme="1"/>
      <name val="Arial"/>
      <family val="2"/>
      <charset val="204"/>
    </font>
    <font>
      <sz val="11"/>
      <color theme="1"/>
      <name val="Arial Black"/>
      <family val="2"/>
      <charset val="204"/>
    </font>
    <font>
      <sz val="11"/>
      <color theme="1"/>
      <name val="Arial"/>
      <family val="2"/>
      <charset val="204"/>
    </font>
    <font>
      <b/>
      <i/>
      <sz val="11"/>
      <color theme="1"/>
      <name val="Arial Black"/>
      <family val="2"/>
      <charset val="204"/>
    </font>
    <font>
      <b/>
      <sz val="11"/>
      <color theme="1"/>
      <name val="Arial Black"/>
      <family val="2"/>
      <charset val="204"/>
    </font>
    <font>
      <b/>
      <i/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Arial Black"/>
      <family val="2"/>
      <charset val="204"/>
    </font>
    <font>
      <sz val="16"/>
      <color indexed="8"/>
      <name val="Arial Narrow"/>
      <family val="2"/>
      <charset val="204"/>
    </font>
    <font>
      <b/>
      <sz val="18"/>
      <color rgb="FFFF0000"/>
      <name val="Calibri"/>
      <family val="2"/>
      <charset val="204"/>
      <scheme val="minor"/>
    </font>
    <font>
      <sz val="11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</font>
    <font>
      <sz val="11"/>
      <name val="Calibri"/>
      <family val="2"/>
      <charset val="204"/>
    </font>
    <font>
      <sz val="10"/>
      <color theme="1"/>
      <name val="Arial"/>
      <family val="2"/>
      <charset val="204"/>
    </font>
    <font>
      <u/>
      <sz val="9.35"/>
      <color indexed="4"/>
      <name val="Calibri"/>
      <family val="2"/>
      <charset val="204"/>
    </font>
    <font>
      <u/>
      <sz val="9.35"/>
      <color indexed="12"/>
      <name val="Calibri"/>
      <family val="2"/>
      <charset val="204"/>
    </font>
    <font>
      <b/>
      <sz val="3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5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  <xf numFmtId="0" fontId="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2" fillId="0" borderId="0"/>
    <xf numFmtId="0" fontId="4" fillId="0" borderId="0"/>
    <xf numFmtId="0" fontId="2" fillId="0" borderId="0"/>
    <xf numFmtId="0" fontId="5" fillId="0" borderId="0">
      <alignment horizontal="left"/>
    </xf>
    <xf numFmtId="0" fontId="2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7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165" fontId="6" fillId="0" borderId="0" applyFont="0" applyFill="0" applyBorder="0" applyAlignment="0" applyProtection="0"/>
    <xf numFmtId="0" fontId="25" fillId="0" borderId="0"/>
    <xf numFmtId="165" fontId="26" fillId="0" borderId="0" applyFont="0" applyFill="0" applyBorder="0" applyProtection="0"/>
    <xf numFmtId="165" fontId="26" fillId="0" borderId="0" applyFont="0" applyFill="0" applyBorder="0" applyProtection="0"/>
    <xf numFmtId="0" fontId="25" fillId="0" borderId="0"/>
    <xf numFmtId="0" fontId="25" fillId="0" borderId="0"/>
    <xf numFmtId="165" fontId="27" fillId="0" borderId="0" applyFont="0" applyFill="0" applyBorder="0" applyProtection="0"/>
    <xf numFmtId="165" fontId="27" fillId="0" borderId="0" applyFont="0" applyFill="0" applyBorder="0" applyProtection="0"/>
    <xf numFmtId="0" fontId="29" fillId="0" borderId="0" applyNumberFormat="0" applyFill="0" applyBorder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6" fillId="0" borderId="0"/>
    <xf numFmtId="0" fontId="5" fillId="0" borderId="0"/>
    <xf numFmtId="0" fontId="5" fillId="0" borderId="0"/>
  </cellStyleXfs>
  <cellXfs count="130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9" fillId="0" borderId="0" xfId="3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9" fillId="0" borderId="0" xfId="3" applyFont="1" applyAlignment="1">
      <alignment horizontal="center" vertical="center"/>
    </xf>
    <xf numFmtId="0" fontId="0" fillId="0" borderId="0" xfId="0" applyAlignment="1">
      <alignment vertical="center" wrapText="1" shrinkToFit="1"/>
    </xf>
    <xf numFmtId="164" fontId="16" fillId="0" borderId="0" xfId="3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4" fillId="0" borderId="0" xfId="3" applyFont="1" applyAlignment="1">
      <alignment horizontal="center" vertical="center"/>
    </xf>
    <xf numFmtId="164" fontId="17" fillId="0" borderId="0" xfId="3" applyFont="1" applyAlignment="1">
      <alignment vertical="center"/>
    </xf>
    <xf numFmtId="164" fontId="17" fillId="0" borderId="0" xfId="3" applyFont="1" applyAlignment="1">
      <alignment horizontal="center" vertical="center"/>
    </xf>
    <xf numFmtId="14" fontId="14" fillId="0" borderId="0" xfId="3" applyNumberFormat="1" applyFont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 wrapText="1" shrinkToFit="1"/>
    </xf>
    <xf numFmtId="164" fontId="14" fillId="0" borderId="0" xfId="3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1" fillId="3" borderId="1" xfId="145" applyFont="1" applyFill="1" applyBorder="1" applyAlignment="1">
      <alignment horizontal="center" vertical="center"/>
    </xf>
    <xf numFmtId="0" fontId="21" fillId="0" borderId="0" xfId="145" applyFont="1"/>
    <xf numFmtId="166" fontId="10" fillId="2" borderId="1" xfId="146" applyNumberFormat="1" applyFont="1" applyFill="1" applyBorder="1" applyAlignment="1">
      <alignment horizontal="center" vertical="center"/>
    </xf>
    <xf numFmtId="0" fontId="4" fillId="0" borderId="0" xfId="145"/>
    <xf numFmtId="170" fontId="20" fillId="0" borderId="0" xfId="145" applyNumberFormat="1" applyFont="1"/>
    <xf numFmtId="0" fontId="13" fillId="0" borderId="0" xfId="0" applyFont="1"/>
    <xf numFmtId="0" fontId="16" fillId="4" borderId="1" xfId="0" applyFont="1" applyFill="1" applyBorder="1" applyAlignment="1">
      <alignment horizontal="left" vertical="center" wrapText="1"/>
    </xf>
    <xf numFmtId="167" fontId="15" fillId="4" borderId="1" xfId="3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169" fontId="15" fillId="4" borderId="1" xfId="3" applyNumberFormat="1" applyFont="1" applyFill="1" applyBorder="1" applyAlignment="1">
      <alignment horizontal="left" vertical="center"/>
    </xf>
    <xf numFmtId="164" fontId="15" fillId="4" borderId="1" xfId="3" applyFont="1" applyFill="1" applyBorder="1" applyAlignment="1">
      <alignment horizontal="left" vertical="center"/>
    </xf>
    <xf numFmtId="164" fontId="19" fillId="0" borderId="0" xfId="145" applyNumberFormat="1" applyFont="1" applyAlignment="1">
      <alignment horizontal="center"/>
    </xf>
    <xf numFmtId="0" fontId="19" fillId="0" borderId="0" xfId="145" applyFont="1" applyAlignment="1">
      <alignment horizontal="center"/>
    </xf>
    <xf numFmtId="0" fontId="19" fillId="3" borderId="0" xfId="145" applyFont="1" applyFill="1"/>
    <xf numFmtId="0" fontId="19" fillId="3" borderId="1" xfId="0" applyFont="1" applyFill="1" applyBorder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/>
    </xf>
    <xf numFmtId="0" fontId="20" fillId="3" borderId="1" xfId="145" applyFont="1" applyFill="1" applyBorder="1" applyAlignment="1">
      <alignment horizontal="center" vertical="center"/>
    </xf>
    <xf numFmtId="0" fontId="14" fillId="0" borderId="0" xfId="0" applyFont="1"/>
    <xf numFmtId="0" fontId="23" fillId="0" borderId="0" xfId="0" applyFont="1" applyAlignment="1">
      <alignment vertical="center"/>
    </xf>
    <xf numFmtId="164" fontId="24" fillId="0" borderId="0" xfId="0" applyNumberFormat="1" applyFont="1"/>
    <xf numFmtId="164" fontId="2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4" fillId="0" borderId="0" xfId="0" applyFont="1"/>
    <xf numFmtId="0" fontId="24" fillId="3" borderId="5" xfId="0" applyFont="1" applyFill="1" applyBorder="1"/>
    <xf numFmtId="0" fontId="24" fillId="3" borderId="5" xfId="0" applyFont="1" applyFill="1" applyBorder="1" applyAlignment="1">
      <alignment horizontal="center"/>
    </xf>
    <xf numFmtId="14" fontId="24" fillId="0" borderId="0" xfId="0" applyNumberFormat="1" applyFont="1"/>
    <xf numFmtId="0" fontId="11" fillId="3" borderId="7" xfId="145" applyFont="1" applyFill="1" applyBorder="1" applyAlignment="1">
      <alignment horizontal="center" vertical="center" wrapText="1"/>
    </xf>
    <xf numFmtId="171" fontId="12" fillId="0" borderId="7" xfId="145" applyNumberFormat="1" applyFont="1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wrapText="1"/>
    </xf>
    <xf numFmtId="4" fontId="2" fillId="0" borderId="0" xfId="0" applyNumberFormat="1" applyFont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0" fontId="28" fillId="3" borderId="1" xfId="2" applyFont="1" applyFill="1" applyBorder="1" applyAlignment="1">
      <alignment horizontal="center" vertical="center"/>
    </xf>
    <xf numFmtId="168" fontId="28" fillId="0" borderId="1" xfId="0" applyNumberFormat="1" applyFont="1" applyBorder="1" applyAlignment="1">
      <alignment horizontal="center" vertical="center"/>
    </xf>
    <xf numFmtId="0" fontId="32" fillId="0" borderId="1" xfId="145" applyFont="1" applyBorder="1" applyAlignment="1">
      <alignment horizontal="center"/>
    </xf>
    <xf numFmtId="0" fontId="33" fillId="0" borderId="1" xfId="0" applyFont="1" applyBorder="1" applyAlignment="1">
      <alignment vertical="center" wrapText="1"/>
    </xf>
    <xf numFmtId="0" fontId="33" fillId="5" borderId="1" xfId="0" applyFont="1" applyFill="1" applyBorder="1" applyAlignment="1">
      <alignment horizontal="center" vertical="center" wrapText="1"/>
    </xf>
    <xf numFmtId="166" fontId="34" fillId="0" borderId="1" xfId="145" applyNumberFormat="1" applyFont="1" applyBorder="1" applyAlignment="1">
      <alignment vertical="center"/>
    </xf>
    <xf numFmtId="0" fontId="34" fillId="0" borderId="1" xfId="145" applyFont="1" applyBorder="1" applyAlignment="1">
      <alignment vertical="center"/>
    </xf>
    <xf numFmtId="0" fontId="32" fillId="0" borderId="1" xfId="145" applyFont="1" applyBorder="1" applyAlignment="1">
      <alignment horizontal="right"/>
    </xf>
    <xf numFmtId="0" fontId="34" fillId="0" borderId="1" xfId="145" applyFont="1" applyBorder="1"/>
    <xf numFmtId="166" fontId="34" fillId="0" borderId="1" xfId="145" applyNumberFormat="1" applyFont="1" applyBorder="1"/>
    <xf numFmtId="0" fontId="32" fillId="0" borderId="1" xfId="145" applyFont="1" applyBorder="1" applyAlignment="1">
      <alignment horizontal="center" vertical="center"/>
    </xf>
    <xf numFmtId="0" fontId="20" fillId="3" borderId="1" xfId="145" applyFont="1" applyFill="1" applyBorder="1" applyAlignment="1">
      <alignment horizontal="center" vertical="center" wrapText="1"/>
    </xf>
    <xf numFmtId="165" fontId="35" fillId="2" borderId="1" xfId="146" applyFont="1" applyFill="1" applyBorder="1" applyAlignment="1">
      <alignment horizontal="center" vertical="center"/>
    </xf>
    <xf numFmtId="0" fontId="20" fillId="0" borderId="0" xfId="145" applyFont="1" applyAlignment="1">
      <alignment horizontal="center"/>
    </xf>
    <xf numFmtId="166" fontId="20" fillId="0" borderId="0" xfId="145" applyNumberFormat="1" applyFont="1"/>
    <xf numFmtId="172" fontId="34" fillId="0" borderId="1" xfId="145" applyNumberFormat="1" applyFont="1" applyBorder="1" applyAlignment="1">
      <alignment vertical="center"/>
    </xf>
    <xf numFmtId="0" fontId="0" fillId="0" borderId="1" xfId="0" applyBorder="1"/>
    <xf numFmtId="164" fontId="9" fillId="0" borderId="0" xfId="3" applyFont="1" applyBorder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/>
    </xf>
    <xf numFmtId="49" fontId="9" fillId="0" borderId="0" xfId="3" applyNumberFormat="1" applyFont="1" applyAlignment="1">
      <alignment horizontal="center"/>
    </xf>
    <xf numFmtId="0" fontId="34" fillId="0" borderId="0" xfId="145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164" fontId="24" fillId="0" borderId="0" xfId="0" applyNumberFormat="1" applyFont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24" fillId="3" borderId="5" xfId="0" applyFont="1" applyFill="1" applyBorder="1" applyAlignment="1">
      <alignment horizontal="center" vertical="center" wrapText="1"/>
    </xf>
    <xf numFmtId="164" fontId="24" fillId="0" borderId="1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0" fillId="3" borderId="1" xfId="145" applyFont="1" applyFill="1" applyBorder="1" applyAlignment="1">
      <alignment horizontal="center" vertical="center"/>
    </xf>
    <xf numFmtId="0" fontId="20" fillId="0" borderId="4" xfId="145" applyFont="1" applyBorder="1" applyAlignment="1">
      <alignment horizontal="center"/>
    </xf>
    <xf numFmtId="0" fontId="31" fillId="0" borderId="7" xfId="145" applyFont="1" applyBorder="1" applyAlignment="1">
      <alignment horizontal="center" vertical="center"/>
    </xf>
    <xf numFmtId="0" fontId="31" fillId="0" borderId="12" xfId="145" applyFont="1" applyBorder="1" applyAlignment="1">
      <alignment horizontal="center" vertical="center"/>
    </xf>
    <xf numFmtId="0" fontId="31" fillId="0" borderId="13" xfId="145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0" fillId="0" borderId="0" xfId="0" applyFill="1" applyBorder="1" applyAlignment="1">
      <alignment horizontal="center" vertical="center" wrapText="1"/>
    </xf>
    <xf numFmtId="0" fontId="28" fillId="0" borderId="0" xfId="2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 wrapText="1"/>
    </xf>
    <xf numFmtId="11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8" fontId="28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4" fontId="2" fillId="0" borderId="0" xfId="0" applyNumberFormat="1" applyFont="1" applyFill="1" applyAlignment="1">
      <alignment horizontal="center" vertical="center"/>
    </xf>
    <xf numFmtId="0" fontId="0" fillId="0" borderId="0" xfId="0" applyFill="1"/>
  </cellXfs>
  <cellStyles count="165">
    <cellStyle name="Гиперссылка 2" xfId="154" xr:uid="{00000000-0005-0000-0000-000000000000}"/>
    <cellStyle name="Гиперссылка 3" xfId="155" xr:uid="{00000000-0005-0000-0000-000001000000}"/>
    <cellStyle name="Обычный" xfId="0" builtinId="0"/>
    <cellStyle name="Обычный 10" xfId="7" xr:uid="{00000000-0005-0000-0000-000003000000}"/>
    <cellStyle name="Обычный 11" xfId="8" xr:uid="{00000000-0005-0000-0000-000004000000}"/>
    <cellStyle name="Обычный 12" xfId="9" xr:uid="{00000000-0005-0000-0000-000005000000}"/>
    <cellStyle name="Обычный 12 2" xfId="156" xr:uid="{00000000-0005-0000-0000-000006000000}"/>
    <cellStyle name="Обычный 13" xfId="10" xr:uid="{00000000-0005-0000-0000-000007000000}"/>
    <cellStyle name="Обычный 13 2" xfId="157" xr:uid="{00000000-0005-0000-0000-000008000000}"/>
    <cellStyle name="Обычный 14" xfId="11" xr:uid="{00000000-0005-0000-0000-000009000000}"/>
    <cellStyle name="Обычный 14 2" xfId="158" xr:uid="{00000000-0005-0000-0000-00000A000000}"/>
    <cellStyle name="Обычный 15" xfId="147" xr:uid="{00000000-0005-0000-0000-00000B000000}"/>
    <cellStyle name="Обычный 16" xfId="159" xr:uid="{00000000-0005-0000-0000-00000C000000}"/>
    <cellStyle name="Обычный 17" xfId="160" xr:uid="{00000000-0005-0000-0000-00000D000000}"/>
    <cellStyle name="Обычный 18" xfId="161" xr:uid="{00000000-0005-0000-0000-00000E000000}"/>
    <cellStyle name="Обычный 19" xfId="162" xr:uid="{00000000-0005-0000-0000-00000F000000}"/>
    <cellStyle name="Обычный 2" xfId="1" xr:uid="{00000000-0005-0000-0000-000010000000}"/>
    <cellStyle name="Обычный 2 2" xfId="92" xr:uid="{00000000-0005-0000-0000-000011000000}"/>
    <cellStyle name="Обычный 2 3" xfId="145" xr:uid="{00000000-0005-0000-0000-000012000000}"/>
    <cellStyle name="Обычный 2 3 2" xfId="151" xr:uid="{00000000-0005-0000-0000-000013000000}"/>
    <cellStyle name="Обычный 23" xfId="164" xr:uid="{00000000-0005-0000-0000-000014000000}"/>
    <cellStyle name="Обычный 27" xfId="163" xr:uid="{00000000-0005-0000-0000-000015000000}"/>
    <cellStyle name="Обычный 3" xfId="2" xr:uid="{00000000-0005-0000-0000-000016000000}"/>
    <cellStyle name="Обычный 3 2" xfId="4" xr:uid="{00000000-0005-0000-0000-000017000000}"/>
    <cellStyle name="Обычный 3 3" xfId="150" xr:uid="{00000000-0005-0000-0000-000018000000}"/>
    <cellStyle name="Обычный 4" xfId="12" xr:uid="{00000000-0005-0000-0000-000019000000}"/>
    <cellStyle name="Обычный 5" xfId="13" xr:uid="{00000000-0005-0000-0000-00001A000000}"/>
    <cellStyle name="Обычный 6" xfId="14" xr:uid="{00000000-0005-0000-0000-00001B000000}"/>
    <cellStyle name="Обычный 7" xfId="15" xr:uid="{00000000-0005-0000-0000-00001C000000}"/>
    <cellStyle name="Обычный 8" xfId="16" xr:uid="{00000000-0005-0000-0000-00001D000000}"/>
    <cellStyle name="Обычный 9" xfId="17" xr:uid="{00000000-0005-0000-0000-00001E000000}"/>
    <cellStyle name="Процентный 7" xfId="18" xr:uid="{00000000-0005-0000-0000-000021000000}"/>
    <cellStyle name="Финансовый" xfId="3" builtinId="3"/>
    <cellStyle name="Финансовый 2" xfId="5" xr:uid="{00000000-0005-0000-0000-000023000000}"/>
    <cellStyle name="Финансовый 3" xfId="19" xr:uid="{00000000-0005-0000-0000-000024000000}"/>
    <cellStyle name="Финансовый 3 2" xfId="6" xr:uid="{00000000-0005-0000-0000-000025000000}"/>
    <cellStyle name="Финансовый 3 2 10" xfId="33" xr:uid="{00000000-0005-0000-0000-000026000000}"/>
    <cellStyle name="Финансовый 3 2 100" xfId="124" xr:uid="{00000000-0005-0000-0000-000027000000}"/>
    <cellStyle name="Финансовый 3 2 101" xfId="125" xr:uid="{00000000-0005-0000-0000-000028000000}"/>
    <cellStyle name="Финансовый 3 2 102" xfId="126" xr:uid="{00000000-0005-0000-0000-000029000000}"/>
    <cellStyle name="Финансовый 3 2 103" xfId="127" xr:uid="{00000000-0005-0000-0000-00002A000000}"/>
    <cellStyle name="Финансовый 3 2 104" xfId="128" xr:uid="{00000000-0005-0000-0000-00002B000000}"/>
    <cellStyle name="Финансовый 3 2 105" xfId="129" xr:uid="{00000000-0005-0000-0000-00002C000000}"/>
    <cellStyle name="Финансовый 3 2 106" xfId="130" xr:uid="{00000000-0005-0000-0000-00002D000000}"/>
    <cellStyle name="Финансовый 3 2 107" xfId="131" xr:uid="{00000000-0005-0000-0000-00002E000000}"/>
    <cellStyle name="Финансовый 3 2 108" xfId="132" xr:uid="{00000000-0005-0000-0000-00002F000000}"/>
    <cellStyle name="Финансовый 3 2 109" xfId="133" xr:uid="{00000000-0005-0000-0000-000030000000}"/>
    <cellStyle name="Финансовый 3 2 11" xfId="34" xr:uid="{00000000-0005-0000-0000-000031000000}"/>
    <cellStyle name="Финансовый 3 2 110" xfId="134" xr:uid="{00000000-0005-0000-0000-000032000000}"/>
    <cellStyle name="Финансовый 3 2 111" xfId="135" xr:uid="{00000000-0005-0000-0000-000033000000}"/>
    <cellStyle name="Финансовый 3 2 112" xfId="136" xr:uid="{00000000-0005-0000-0000-000034000000}"/>
    <cellStyle name="Финансовый 3 2 113" xfId="137" xr:uid="{00000000-0005-0000-0000-000035000000}"/>
    <cellStyle name="Финансовый 3 2 114" xfId="138" xr:uid="{00000000-0005-0000-0000-000036000000}"/>
    <cellStyle name="Финансовый 3 2 115" xfId="139" xr:uid="{00000000-0005-0000-0000-000037000000}"/>
    <cellStyle name="Финансовый 3 2 116" xfId="140" xr:uid="{00000000-0005-0000-0000-000038000000}"/>
    <cellStyle name="Финансовый 3 2 117" xfId="141" xr:uid="{00000000-0005-0000-0000-000039000000}"/>
    <cellStyle name="Финансовый 3 2 118" xfId="142" xr:uid="{00000000-0005-0000-0000-00003A000000}"/>
    <cellStyle name="Финансовый 3 2 119" xfId="143" xr:uid="{00000000-0005-0000-0000-00003B000000}"/>
    <cellStyle name="Финансовый 3 2 12" xfId="35" xr:uid="{00000000-0005-0000-0000-00003C000000}"/>
    <cellStyle name="Финансовый 3 2 120" xfId="144" xr:uid="{00000000-0005-0000-0000-00003D000000}"/>
    <cellStyle name="Финансовый 3 2 121" xfId="149" xr:uid="{00000000-0005-0000-0000-00003E000000}"/>
    <cellStyle name="Финансовый 3 2 122" xfId="153" xr:uid="{00000000-0005-0000-0000-00003F000000}"/>
    <cellStyle name="Финансовый 3 2 13" xfId="36" xr:uid="{00000000-0005-0000-0000-000040000000}"/>
    <cellStyle name="Финансовый 3 2 14" xfId="37" xr:uid="{00000000-0005-0000-0000-000041000000}"/>
    <cellStyle name="Финансовый 3 2 15" xfId="38" xr:uid="{00000000-0005-0000-0000-000042000000}"/>
    <cellStyle name="Финансовый 3 2 16" xfId="39" xr:uid="{00000000-0005-0000-0000-000043000000}"/>
    <cellStyle name="Финансовый 3 2 17" xfId="40" xr:uid="{00000000-0005-0000-0000-000044000000}"/>
    <cellStyle name="Финансовый 3 2 173" xfId="146" xr:uid="{00000000-0005-0000-0000-000045000000}"/>
    <cellStyle name="Финансовый 3 2 18" xfId="41" xr:uid="{00000000-0005-0000-0000-000046000000}"/>
    <cellStyle name="Финансовый 3 2 19" xfId="42" xr:uid="{00000000-0005-0000-0000-000047000000}"/>
    <cellStyle name="Финансовый 3 2 2" xfId="25" xr:uid="{00000000-0005-0000-0000-000048000000}"/>
    <cellStyle name="Финансовый 3 2 20" xfId="43" xr:uid="{00000000-0005-0000-0000-000049000000}"/>
    <cellStyle name="Финансовый 3 2 21" xfId="44" xr:uid="{00000000-0005-0000-0000-00004A000000}"/>
    <cellStyle name="Финансовый 3 2 22" xfId="45" xr:uid="{00000000-0005-0000-0000-00004B000000}"/>
    <cellStyle name="Финансовый 3 2 23" xfId="46" xr:uid="{00000000-0005-0000-0000-00004C000000}"/>
    <cellStyle name="Финансовый 3 2 24" xfId="47" xr:uid="{00000000-0005-0000-0000-00004D000000}"/>
    <cellStyle name="Финансовый 3 2 25" xfId="48" xr:uid="{00000000-0005-0000-0000-00004E000000}"/>
    <cellStyle name="Финансовый 3 2 26" xfId="49" xr:uid="{00000000-0005-0000-0000-00004F000000}"/>
    <cellStyle name="Финансовый 3 2 27" xfId="50" xr:uid="{00000000-0005-0000-0000-000050000000}"/>
    <cellStyle name="Финансовый 3 2 28" xfId="51" xr:uid="{00000000-0005-0000-0000-000051000000}"/>
    <cellStyle name="Финансовый 3 2 29" xfId="52" xr:uid="{00000000-0005-0000-0000-000052000000}"/>
    <cellStyle name="Финансовый 3 2 3" xfId="26" xr:uid="{00000000-0005-0000-0000-000053000000}"/>
    <cellStyle name="Финансовый 3 2 30" xfId="53" xr:uid="{00000000-0005-0000-0000-000054000000}"/>
    <cellStyle name="Финансовый 3 2 31" xfId="54" xr:uid="{00000000-0005-0000-0000-000055000000}"/>
    <cellStyle name="Финансовый 3 2 32" xfId="55" xr:uid="{00000000-0005-0000-0000-000056000000}"/>
    <cellStyle name="Финансовый 3 2 33" xfId="56" xr:uid="{00000000-0005-0000-0000-000057000000}"/>
    <cellStyle name="Финансовый 3 2 34" xfId="57" xr:uid="{00000000-0005-0000-0000-000058000000}"/>
    <cellStyle name="Финансовый 3 2 35" xfId="58" xr:uid="{00000000-0005-0000-0000-000059000000}"/>
    <cellStyle name="Финансовый 3 2 36" xfId="59" xr:uid="{00000000-0005-0000-0000-00005A000000}"/>
    <cellStyle name="Финансовый 3 2 37" xfId="60" xr:uid="{00000000-0005-0000-0000-00005B000000}"/>
    <cellStyle name="Финансовый 3 2 38" xfId="61" xr:uid="{00000000-0005-0000-0000-00005C000000}"/>
    <cellStyle name="Финансовый 3 2 39" xfId="62" xr:uid="{00000000-0005-0000-0000-00005D000000}"/>
    <cellStyle name="Финансовый 3 2 4" xfId="27" xr:uid="{00000000-0005-0000-0000-00005E000000}"/>
    <cellStyle name="Финансовый 3 2 40" xfId="63" xr:uid="{00000000-0005-0000-0000-00005F000000}"/>
    <cellStyle name="Финансовый 3 2 41" xfId="64" xr:uid="{00000000-0005-0000-0000-000060000000}"/>
    <cellStyle name="Финансовый 3 2 42" xfId="65" xr:uid="{00000000-0005-0000-0000-000061000000}"/>
    <cellStyle name="Финансовый 3 2 43" xfId="66" xr:uid="{00000000-0005-0000-0000-000062000000}"/>
    <cellStyle name="Финансовый 3 2 44" xfId="67" xr:uid="{00000000-0005-0000-0000-000063000000}"/>
    <cellStyle name="Финансовый 3 2 45" xfId="68" xr:uid="{00000000-0005-0000-0000-000064000000}"/>
    <cellStyle name="Финансовый 3 2 46" xfId="69" xr:uid="{00000000-0005-0000-0000-000065000000}"/>
    <cellStyle name="Финансовый 3 2 47" xfId="70" xr:uid="{00000000-0005-0000-0000-000066000000}"/>
    <cellStyle name="Финансовый 3 2 48" xfId="71" xr:uid="{00000000-0005-0000-0000-000067000000}"/>
    <cellStyle name="Финансовый 3 2 49" xfId="72" xr:uid="{00000000-0005-0000-0000-000068000000}"/>
    <cellStyle name="Финансовый 3 2 5" xfId="28" xr:uid="{00000000-0005-0000-0000-000069000000}"/>
    <cellStyle name="Финансовый 3 2 50" xfId="73" xr:uid="{00000000-0005-0000-0000-00006A000000}"/>
    <cellStyle name="Финансовый 3 2 51" xfId="74" xr:uid="{00000000-0005-0000-0000-00006B000000}"/>
    <cellStyle name="Финансовый 3 2 52" xfId="75" xr:uid="{00000000-0005-0000-0000-00006C000000}"/>
    <cellStyle name="Финансовый 3 2 53" xfId="76" xr:uid="{00000000-0005-0000-0000-00006D000000}"/>
    <cellStyle name="Финансовый 3 2 54" xfId="77" xr:uid="{00000000-0005-0000-0000-00006E000000}"/>
    <cellStyle name="Финансовый 3 2 55" xfId="78" xr:uid="{00000000-0005-0000-0000-00006F000000}"/>
    <cellStyle name="Финансовый 3 2 56" xfId="79" xr:uid="{00000000-0005-0000-0000-000070000000}"/>
    <cellStyle name="Финансовый 3 2 57" xfId="80" xr:uid="{00000000-0005-0000-0000-000071000000}"/>
    <cellStyle name="Финансовый 3 2 58" xfId="81" xr:uid="{00000000-0005-0000-0000-000072000000}"/>
    <cellStyle name="Финансовый 3 2 59" xfId="82" xr:uid="{00000000-0005-0000-0000-000073000000}"/>
    <cellStyle name="Финансовый 3 2 6" xfId="29" xr:uid="{00000000-0005-0000-0000-000074000000}"/>
    <cellStyle name="Финансовый 3 2 60" xfId="83" xr:uid="{00000000-0005-0000-0000-000075000000}"/>
    <cellStyle name="Финансовый 3 2 61" xfId="84" xr:uid="{00000000-0005-0000-0000-000076000000}"/>
    <cellStyle name="Финансовый 3 2 62" xfId="85" xr:uid="{00000000-0005-0000-0000-000077000000}"/>
    <cellStyle name="Финансовый 3 2 63" xfId="86" xr:uid="{00000000-0005-0000-0000-000078000000}"/>
    <cellStyle name="Финансовый 3 2 64" xfId="87" xr:uid="{00000000-0005-0000-0000-000079000000}"/>
    <cellStyle name="Финансовый 3 2 65" xfId="88" xr:uid="{00000000-0005-0000-0000-00007A000000}"/>
    <cellStyle name="Финансовый 3 2 66" xfId="89" xr:uid="{00000000-0005-0000-0000-00007B000000}"/>
    <cellStyle name="Финансовый 3 2 67" xfId="90" xr:uid="{00000000-0005-0000-0000-00007C000000}"/>
    <cellStyle name="Финансовый 3 2 68" xfId="91" xr:uid="{00000000-0005-0000-0000-00007D000000}"/>
    <cellStyle name="Финансовый 3 2 69" xfId="93" xr:uid="{00000000-0005-0000-0000-00007E000000}"/>
    <cellStyle name="Финансовый 3 2 7" xfId="30" xr:uid="{00000000-0005-0000-0000-00007F000000}"/>
    <cellStyle name="Финансовый 3 2 70" xfId="94" xr:uid="{00000000-0005-0000-0000-000080000000}"/>
    <cellStyle name="Финансовый 3 2 71" xfId="95" xr:uid="{00000000-0005-0000-0000-000081000000}"/>
    <cellStyle name="Финансовый 3 2 72" xfId="96" xr:uid="{00000000-0005-0000-0000-000082000000}"/>
    <cellStyle name="Финансовый 3 2 73" xfId="97" xr:uid="{00000000-0005-0000-0000-000083000000}"/>
    <cellStyle name="Финансовый 3 2 74" xfId="98" xr:uid="{00000000-0005-0000-0000-000084000000}"/>
    <cellStyle name="Финансовый 3 2 75" xfId="99" xr:uid="{00000000-0005-0000-0000-000085000000}"/>
    <cellStyle name="Финансовый 3 2 76" xfId="100" xr:uid="{00000000-0005-0000-0000-000086000000}"/>
    <cellStyle name="Финансовый 3 2 77" xfId="101" xr:uid="{00000000-0005-0000-0000-000087000000}"/>
    <cellStyle name="Финансовый 3 2 78" xfId="102" xr:uid="{00000000-0005-0000-0000-000088000000}"/>
    <cellStyle name="Финансовый 3 2 79" xfId="103" xr:uid="{00000000-0005-0000-0000-000089000000}"/>
    <cellStyle name="Финансовый 3 2 8" xfId="31" xr:uid="{00000000-0005-0000-0000-00008A000000}"/>
    <cellStyle name="Финансовый 3 2 80" xfId="104" xr:uid="{00000000-0005-0000-0000-00008B000000}"/>
    <cellStyle name="Финансовый 3 2 81" xfId="105" xr:uid="{00000000-0005-0000-0000-00008C000000}"/>
    <cellStyle name="Финансовый 3 2 82" xfId="106" xr:uid="{00000000-0005-0000-0000-00008D000000}"/>
    <cellStyle name="Финансовый 3 2 83" xfId="107" xr:uid="{00000000-0005-0000-0000-00008E000000}"/>
    <cellStyle name="Финансовый 3 2 84" xfId="108" xr:uid="{00000000-0005-0000-0000-00008F000000}"/>
    <cellStyle name="Финансовый 3 2 85" xfId="109" xr:uid="{00000000-0005-0000-0000-000090000000}"/>
    <cellStyle name="Финансовый 3 2 86" xfId="110" xr:uid="{00000000-0005-0000-0000-000091000000}"/>
    <cellStyle name="Финансовый 3 2 87" xfId="111" xr:uid="{00000000-0005-0000-0000-000092000000}"/>
    <cellStyle name="Финансовый 3 2 88" xfId="112" xr:uid="{00000000-0005-0000-0000-000093000000}"/>
    <cellStyle name="Финансовый 3 2 89" xfId="113" xr:uid="{00000000-0005-0000-0000-000094000000}"/>
    <cellStyle name="Финансовый 3 2 9" xfId="32" xr:uid="{00000000-0005-0000-0000-000095000000}"/>
    <cellStyle name="Финансовый 3 2 90" xfId="114" xr:uid="{00000000-0005-0000-0000-000096000000}"/>
    <cellStyle name="Финансовый 3 2 91" xfId="115" xr:uid="{00000000-0005-0000-0000-000097000000}"/>
    <cellStyle name="Финансовый 3 2 92" xfId="116" xr:uid="{00000000-0005-0000-0000-000098000000}"/>
    <cellStyle name="Финансовый 3 2 93" xfId="117" xr:uid="{00000000-0005-0000-0000-000099000000}"/>
    <cellStyle name="Финансовый 3 2 94" xfId="118" xr:uid="{00000000-0005-0000-0000-00009A000000}"/>
    <cellStyle name="Финансовый 3 2 95" xfId="119" xr:uid="{00000000-0005-0000-0000-00009B000000}"/>
    <cellStyle name="Финансовый 3 2 96" xfId="120" xr:uid="{00000000-0005-0000-0000-00009C000000}"/>
    <cellStyle name="Финансовый 3 2 97" xfId="121" xr:uid="{00000000-0005-0000-0000-00009D000000}"/>
    <cellStyle name="Финансовый 3 2 98" xfId="122" xr:uid="{00000000-0005-0000-0000-00009E000000}"/>
    <cellStyle name="Финансовый 3 2 99" xfId="123" xr:uid="{00000000-0005-0000-0000-00009F000000}"/>
    <cellStyle name="Финансовый 3 3" xfId="20" xr:uid="{00000000-0005-0000-0000-0000A0000000}"/>
    <cellStyle name="Финансовый 3 4" xfId="21" xr:uid="{00000000-0005-0000-0000-0000A1000000}"/>
    <cellStyle name="Финансовый 3 5" xfId="22" xr:uid="{00000000-0005-0000-0000-0000A2000000}"/>
    <cellStyle name="Финансовый 3 6" xfId="23" xr:uid="{00000000-0005-0000-0000-0000A3000000}"/>
    <cellStyle name="Финансовый 3 7" xfId="24" xr:uid="{00000000-0005-0000-0000-0000A4000000}"/>
    <cellStyle name="Финансовый 4" xfId="148" xr:uid="{00000000-0005-0000-0000-0000A5000000}"/>
    <cellStyle name="Финансовый 5" xfId="152" xr:uid="{00000000-0005-0000-0000-0000A6000000}"/>
  </cellStyles>
  <dxfs count="19"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/>
        <color rgb="FFFF0000"/>
      </font>
      <fill>
        <patternFill patternType="none">
          <fgColor indexed="64"/>
          <bgColor auto="1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C7CE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0</xdr:row>
      <xdr:rowOff>161925</xdr:rowOff>
    </xdr:from>
    <xdr:ext cx="3146502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981325" y="161925"/>
          <a:ext cx="314650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Форма заявления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 выдаче сертификата о происхождении товара</a:t>
          </a:r>
          <a:endParaRPr lang="ru-RU" sz="1100"/>
        </a:p>
      </xdr:txBody>
    </xdr:sp>
    <xdr:clientData/>
  </xdr:oneCellAnchor>
  <xdr:oneCellAnchor>
    <xdr:from>
      <xdr:col>1</xdr:col>
      <xdr:colOff>542925</xdr:colOff>
      <xdr:row>3</xdr:row>
      <xdr:rowOff>171450</xdr:rowOff>
    </xdr:from>
    <xdr:ext cx="2642134" cy="9534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42925" y="742950"/>
          <a:ext cx="2642134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№_______________________________</a:t>
          </a: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 </a:t>
          </a:r>
          <a:r>
            <a:rPr lang="ru-RU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Союз «Торгово-промышленная палата 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Республики Коми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oneCellAnchor>
  <xdr:oneCellAnchor>
    <xdr:from>
      <xdr:col>1</xdr:col>
      <xdr:colOff>0</xdr:colOff>
      <xdr:row>10</xdr:row>
      <xdr:rowOff>142875</xdr:rowOff>
    </xdr:from>
    <xdr:ext cx="7353300" cy="16423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0" y="2047875"/>
          <a:ext cx="7353300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ЗАЯВЛЕНИЕ</a:t>
          </a:r>
        </a:p>
        <a:p>
          <a:pPr algn="ctr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 выдаче сертификата о происхождении товара</a:t>
          </a:r>
        </a:p>
        <a:p>
          <a:pPr algn="ctr"/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Прошу выдать сертификат о происхождении товара форма </a:t>
          </a:r>
          <a:r>
            <a:rPr lang="ru-RU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Общая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на товары, вывозимые (экспортируемые) из Российской Федерации в </a:t>
          </a:r>
          <a:r>
            <a:rPr lang="ru-RU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Китай.</a:t>
          </a:r>
        </a:p>
        <a:p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Сообщаем следующие сведения:</a:t>
          </a: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Сведения об экспортной поставке товара:</a:t>
          </a: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экспортер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грузоотправитель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152400</xdr:rowOff>
    </xdr:from>
    <xdr:ext cx="83138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0" y="4343400"/>
          <a:ext cx="8313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импортер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 sz="1100"/>
        </a:p>
      </xdr:txBody>
    </xdr:sp>
    <xdr:clientData/>
  </xdr:oneCellAnchor>
  <xdr:oneCellAnchor>
    <xdr:from>
      <xdr:col>1</xdr:col>
      <xdr:colOff>0</xdr:colOff>
      <xdr:row>31</xdr:row>
      <xdr:rowOff>142875</xdr:rowOff>
    </xdr:from>
    <xdr:ext cx="9476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0" y="5095875"/>
          <a:ext cx="9476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контракт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№</a:t>
          </a:r>
          <a:endParaRPr lang="ru-RU" sz="1100"/>
        </a:p>
      </xdr:txBody>
    </xdr:sp>
    <xdr:clientData/>
  </xdr:oneCellAnchor>
  <xdr:oneCellAnchor>
    <xdr:from>
      <xdr:col>1</xdr:col>
      <xdr:colOff>0</xdr:colOff>
      <xdr:row>33</xdr:row>
      <xdr:rowOff>133350</xdr:rowOff>
    </xdr:from>
    <xdr:ext cx="178927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0" y="5467350"/>
          <a:ext cx="17892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счет-фактура (инвойс):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№ </a:t>
          </a:r>
          <a:endParaRPr lang="ru-RU" sz="1100"/>
        </a:p>
      </xdr:txBody>
    </xdr:sp>
    <xdr:clientData/>
  </xdr:oneCellAnchor>
  <xdr:oneCellAnchor>
    <xdr:from>
      <xdr:col>1</xdr:col>
      <xdr:colOff>0</xdr:colOff>
      <xdr:row>35</xdr:row>
      <xdr:rowOff>152400</xdr:rowOff>
    </xdr:from>
    <xdr:ext cx="1789785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0" y="6629400"/>
          <a:ext cx="17897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реквизиты коносамента: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/>
        </a:p>
      </xdr:txBody>
    </xdr:sp>
    <xdr:clientData/>
  </xdr:oneCellAnchor>
  <xdr:oneCellAnchor>
    <xdr:from>
      <xdr:col>1</xdr:col>
      <xdr:colOff>0</xdr:colOff>
      <xdr:row>37</xdr:row>
      <xdr:rowOff>152400</xdr:rowOff>
    </xdr:from>
    <xdr:ext cx="5346464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0" y="6057900"/>
          <a:ext cx="534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Сведения о маршруте следования (транспортировки) товара: Number of containers:</a:t>
          </a:r>
          <a:endParaRPr lang="ru-RU" sz="1100"/>
        </a:p>
      </xdr:txBody>
    </xdr:sp>
    <xdr:clientData/>
  </xdr:oneCellAnchor>
  <xdr:oneCellAnchor>
    <xdr:from>
      <xdr:col>1</xdr:col>
      <xdr:colOff>0</xdr:colOff>
      <xdr:row>45</xdr:row>
      <xdr:rowOff>161925</xdr:rowOff>
    </xdr:from>
    <xdr:ext cx="1488484" cy="23812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0" y="7591425"/>
          <a:ext cx="1488484" cy="238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Сведения о товаре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oneCellAnchor>
  <xdr:oneCellAnchor>
    <xdr:from>
      <xdr:col>1</xdr:col>
      <xdr:colOff>0</xdr:colOff>
      <xdr:row>52</xdr:row>
      <xdr:rowOff>9525</xdr:rowOff>
    </xdr:from>
    <xdr:ext cx="7629525" cy="1238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0" y="9896475"/>
          <a:ext cx="7629525" cy="1238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Иные сведения, которые заявитель сочтет необходимым указать;</a:t>
          </a: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Опись документов, прилагаемых к заявлению.</a:t>
          </a: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Копия контракту №</a:t>
          </a: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Копия дополнений к договору</a:t>
          </a: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Копия счета-фактуры (инвойса)</a:t>
          </a: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Копия коносамент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0</xdr:colOff>
      <xdr:row>27</xdr:row>
      <xdr:rowOff>142875</xdr:rowOff>
    </xdr:from>
    <xdr:ext cx="1252843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0" y="5095875"/>
          <a:ext cx="12528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грузополучатель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 sz="1100"/>
        </a:p>
      </xdr:txBody>
    </xdr:sp>
    <xdr:clientData/>
  </xdr:oneCellAnchor>
  <xdr:oneCellAnchor>
    <xdr:from>
      <xdr:col>7</xdr:col>
      <xdr:colOff>628650</xdr:colOff>
      <xdr:row>4</xdr:row>
      <xdr:rowOff>152400</xdr:rowOff>
    </xdr:from>
    <xdr:ext cx="714374" cy="2286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448175" y="914400"/>
          <a:ext cx="714374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От </a:t>
          </a:r>
          <a:endParaRPr lang="ru-RU" sz="1100"/>
        </a:p>
      </xdr:txBody>
    </xdr:sp>
    <xdr:clientData/>
  </xdr:oneCellAnchor>
  <xdr:oneCellAnchor>
    <xdr:from>
      <xdr:col>1</xdr:col>
      <xdr:colOff>0</xdr:colOff>
      <xdr:row>57</xdr:row>
      <xdr:rowOff>161925</xdr:rowOff>
    </xdr:from>
    <xdr:ext cx="8526693" cy="112569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0" y="11001375"/>
          <a:ext cx="8526693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обязуется обеспечить хранение полученной копии сертификата, а также документов и/или их копий, </a:t>
          </a:r>
          <a:endParaRPr lang="ru-RU">
            <a:effectLst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представленных для его выдачи, не менее трех лет с даты получения сертификата.</a:t>
          </a:r>
          <a:endParaRPr lang="ru-RU">
            <a:effectLst/>
          </a:endParaRPr>
        </a:p>
        <a:p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Сведения о лице, предоставляющего интересы производителя или экспортера товара</a:t>
          </a:r>
          <a:endParaRPr lang="ru-RU">
            <a:effectLst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Мишев П.Е. </a:t>
          </a:r>
          <a:r>
            <a:rPr lang="ru-RU" sz="110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_____________________________</a:t>
          </a:r>
          <a:endParaRPr lang="ru-RU">
            <a:effectLst/>
          </a:endParaRPr>
        </a:p>
        <a:p>
          <a:endParaRPr lang="ru-R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.FORMATLES/Dropbox/&#1052;&#1086;&#1081;%20&#1055;&#1050;%20(COMPPETER)/Downloads/Users/Igor/Dropbox/1RusPellets/2015%20SP/2016%20Shipments/04/02%20Marlen%20BMOU5906068/&#1050;&#1051;&#1048;&#1045;&#1053;&#1058;&#1067;/&#1052;&#1040;&#1056;&#1051;&#1045;&#1053;/&#1048;&#1053;&#1042;&#1054;&#1049;&#1057;&#1067;/&#1048;&#1053;&#1042;&#1054;&#1049;&#1057;%2061%20-%20&#1050;&#1054;&#1056;&#1045;&#107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Igor\Dropbox\1RusPellets\2015%20SP\2016%20Shipments\04\02%20Marlen%20BMOU5906068\&#1050;&#1051;&#1048;&#1045;&#1053;&#1058;&#1067;\&#1052;&#1040;&#1056;&#1051;&#1045;&#1053;\&#1048;&#1053;&#1042;&#1054;&#1049;&#1057;&#1067;\&#1048;&#1053;&#1042;&#1054;&#1049;&#1057;%2061%20-%20&#1050;&#1054;&#1056;&#1045;&#107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1052;&#1048;&#1064;&#1045;&#1042;%20&#1055;&#1045;&#1058;&#1056;\&#1080;&#1085;&#1074;&#1086;&#1081;&#1089;&#1099;_&#1071;&#1089;&#1085;&#1086;&#1075;&#1083;&#1077;&#1089;&#1087;&#1088;&#1086;&#1084;\2024\127,%20AZ,%20AZ_2023,%20ADD.%208,%20DOLPHIN\Invoice%201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ес"/>
      <sheetName val="Списки"/>
      <sheetName val="ГОСТ_6782.2-75-береза"/>
      <sheetName val="ГОСТ_6782.1-75-сосна,ель"/>
      <sheetName val="ГОСТ_6782.1-75-лиственница"/>
      <sheetName val="Инвойс"/>
      <sheetName val="CMR1"/>
      <sheetName val="CMR 2"/>
      <sheetName val="CMR С бланком"/>
    </sheetNames>
    <sheetDataSet>
      <sheetData sheetId="0"/>
      <sheetData sheetId="1">
        <row r="2">
          <cell r="A2" t="str">
            <v>Сосна</v>
          </cell>
        </row>
        <row r="3">
          <cell r="A3" t="str">
            <v>Ель</v>
          </cell>
        </row>
        <row r="4">
          <cell r="A4" t="str">
            <v>Лиственница</v>
          </cell>
        </row>
        <row r="5">
          <cell r="A5" t="str">
            <v>Береза</v>
          </cell>
        </row>
        <row r="6">
          <cell r="A6" t="str">
            <v>Осина</v>
          </cell>
        </row>
        <row r="11">
          <cell r="A11" t="str">
            <v>8486-86</v>
          </cell>
          <cell r="C11" t="str">
            <v>Доска обрезная</v>
          </cell>
        </row>
        <row r="12">
          <cell r="A12" t="str">
            <v>26002-83</v>
          </cell>
          <cell r="C12" t="str">
            <v>Пиломатериалы обрезные</v>
          </cell>
        </row>
        <row r="13">
          <cell r="A13" t="str">
            <v>2695-83</v>
          </cell>
          <cell r="C13" t="str">
            <v>Брус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ес"/>
      <sheetName val="Списки"/>
      <sheetName val="ГОСТ_6782.2-75-береза"/>
      <sheetName val="ГОСТ_6782.1-75-сосна,ель"/>
      <sheetName val="ГОСТ_6782.1-75-лиственница"/>
      <sheetName val="Инвойс"/>
      <sheetName val="CMR1"/>
      <sheetName val="CMR 2"/>
      <sheetName val="CMR С бланком"/>
    </sheetNames>
    <sheetDataSet>
      <sheetData sheetId="0"/>
      <sheetData sheetId="1">
        <row r="2">
          <cell r="A2" t="str">
            <v>Сосна</v>
          </cell>
        </row>
        <row r="3">
          <cell r="A3" t="str">
            <v>Ель</v>
          </cell>
        </row>
        <row r="4">
          <cell r="A4" t="str">
            <v>Лиственница</v>
          </cell>
        </row>
        <row r="5">
          <cell r="A5" t="str">
            <v>Береза</v>
          </cell>
        </row>
        <row r="6">
          <cell r="A6" t="str">
            <v>Осина</v>
          </cell>
        </row>
        <row r="11">
          <cell r="A11" t="str">
            <v>8486-86</v>
          </cell>
          <cell r="C11" t="str">
            <v>Доска обрезная</v>
          </cell>
        </row>
        <row r="12">
          <cell r="A12" t="str">
            <v>26002-83</v>
          </cell>
          <cell r="C12" t="str">
            <v>Пиломатериалы обрезные</v>
          </cell>
        </row>
        <row r="13">
          <cell r="A13" t="str">
            <v>2695-83</v>
          </cell>
          <cell r="C13" t="str">
            <v>Брус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7"/>
      <sheetName val="Specification"/>
      <sheetName val="Weight certificate (Y)"/>
      <sheetName val="Weight certificate (LI)"/>
      <sheetName val="Accompanying document"/>
      <sheetName val="Fitocanitary certificate"/>
      <sheetName val="CMR"/>
      <sheetName val="Packing List"/>
      <sheetName val="Protocol"/>
      <sheetName val="Measurement protocol"/>
      <sheetName val="Specification (TOTAL)"/>
      <sheetName val="Renewal FC (Ozinki)"/>
      <sheetName val="Renewal (Grodekovo)"/>
      <sheetName val="Renewal (Azerb)"/>
      <sheetName val="Renewal (Uzb)"/>
      <sheetName val="DT"/>
      <sheetName val="DT (2)"/>
      <sheetName val="DT CAR"/>
      <sheetName val="Count 31"/>
      <sheetName val="Total (2)"/>
      <sheetName val="Total"/>
    </sheetNames>
    <sheetDataSet>
      <sheetData sheetId="0">
        <row r="27">
          <cell r="U27" t="str">
            <v>ООО «СЕВЕРТРАНСКОМ», ИНН/КПП 1101147210/110101001; ОГРН 1141101000105</v>
          </cell>
        </row>
        <row r="28">
          <cell r="U28" t="str">
            <v xml:space="preserve">ООО "ДОЛФИН"; ИНН/КПП 1121025940/112101001; ОГРН 1171101000620
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9">
    <pageSetUpPr fitToPage="1"/>
  </sheetPr>
  <dimension ref="B5:O112"/>
  <sheetViews>
    <sheetView topLeftCell="A21" zoomScale="85" zoomScaleNormal="85" workbookViewId="0">
      <selection activeCell="N30" sqref="N30"/>
    </sheetView>
  </sheetViews>
  <sheetFormatPr defaultRowHeight="15" x14ac:dyDescent="0.25"/>
  <cols>
    <col min="7" max="7" width="11.5703125" customWidth="1"/>
    <col min="8" max="8" width="20" customWidth="1"/>
    <col min="10" max="10" width="11" bestFit="1" customWidth="1"/>
    <col min="12" max="12" width="17.85546875" customWidth="1"/>
  </cols>
  <sheetData>
    <row r="5" spans="8:12" x14ac:dyDescent="0.25">
      <c r="H5" s="60">
        <f ca="1">TODAY()</f>
        <v>46054</v>
      </c>
    </row>
    <row r="6" spans="8:12" x14ac:dyDescent="0.25">
      <c r="I6" t="s">
        <v>49</v>
      </c>
    </row>
    <row r="7" spans="8:12" x14ac:dyDescent="0.25">
      <c r="I7" s="93" t="s">
        <v>50</v>
      </c>
      <c r="J7" s="93"/>
      <c r="K7" s="93"/>
      <c r="L7" s="93"/>
    </row>
    <row r="8" spans="8:12" x14ac:dyDescent="0.25">
      <c r="I8" s="93"/>
      <c r="J8" s="93"/>
      <c r="K8" s="93"/>
      <c r="L8" s="93"/>
    </row>
    <row r="9" spans="8:12" x14ac:dyDescent="0.25">
      <c r="I9" t="s">
        <v>51</v>
      </c>
      <c r="J9">
        <v>1101091334</v>
      </c>
    </row>
    <row r="10" spans="8:12" x14ac:dyDescent="0.25">
      <c r="I10" t="s">
        <v>52</v>
      </c>
      <c r="J10">
        <v>110101001</v>
      </c>
    </row>
    <row r="20" spans="3:12" hidden="1" x14ac:dyDescent="0.25"/>
    <row r="21" spans="3:12" x14ac:dyDescent="0.25">
      <c r="C21" s="55" t="e">
        <f ca="1">TOTAL!M180</f>
        <v>#REF!</v>
      </c>
      <c r="D21" s="56"/>
      <c r="E21" s="56"/>
      <c r="F21" s="56"/>
      <c r="G21" s="56"/>
      <c r="H21" s="56"/>
      <c r="I21" s="56"/>
      <c r="J21" s="56"/>
      <c r="K21" s="56"/>
      <c r="L21" s="56"/>
    </row>
    <row r="22" spans="3:12" x14ac:dyDescent="0.25">
      <c r="C22" s="102" t="e">
        <f ca="1">TOTAL!M181</f>
        <v>#REF!</v>
      </c>
      <c r="D22" s="102"/>
      <c r="E22" s="102"/>
      <c r="F22" s="102"/>
      <c r="G22" s="102"/>
      <c r="H22" s="102"/>
      <c r="I22" s="102"/>
      <c r="J22" s="102"/>
      <c r="K22" s="102"/>
      <c r="L22" s="102"/>
    </row>
    <row r="23" spans="3:12" x14ac:dyDescent="0.25">
      <c r="C23" s="102"/>
      <c r="D23" s="102"/>
      <c r="E23" s="102"/>
      <c r="F23" s="102"/>
      <c r="G23" s="102"/>
      <c r="H23" s="102"/>
      <c r="I23" s="102"/>
      <c r="J23" s="102"/>
      <c r="K23" s="102"/>
      <c r="L23" s="102"/>
    </row>
    <row r="26" spans="3:12" x14ac:dyDescent="0.25">
      <c r="C26" s="54" t="e">
        <f ca="1">TOTAL!M159</f>
        <v>#REF!</v>
      </c>
    </row>
    <row r="27" spans="3:12" x14ac:dyDescent="0.25">
      <c r="C27" s="54" t="str">
        <f>TOTAL!M160</f>
        <v>SUITE C, LEVEL 7, WORLD TRUST TOWER, 50 STANLEY STREET, CENTRAL, HONG KONG</v>
      </c>
    </row>
    <row r="28" spans="3:12" x14ac:dyDescent="0.25">
      <c r="C28" s="54"/>
    </row>
    <row r="29" spans="3:12" x14ac:dyDescent="0.25">
      <c r="C29" s="54"/>
    </row>
    <row r="30" spans="3:12" x14ac:dyDescent="0.25">
      <c r="C30" s="54" t="e">
        <f ca="1">TOTAL!M164</f>
        <v>#REF!</v>
      </c>
    </row>
    <row r="31" spans="3:12" x14ac:dyDescent="0.25">
      <c r="C31" s="54" t="e">
        <f ca="1">TOTAL!M165</f>
        <v>#REF!</v>
      </c>
    </row>
    <row r="34" spans="2:15" x14ac:dyDescent="0.25">
      <c r="C34" s="57" t="e">
        <f ca="1">CONCATENATE(TOTAL!M161&amp;" от "&amp;TOTAL!M162)</f>
        <v>#REF!</v>
      </c>
    </row>
    <row r="35" spans="2:15" x14ac:dyDescent="0.25">
      <c r="E35" s="104" t="s">
        <v>53</v>
      </c>
      <c r="F35" s="104"/>
      <c r="G35" s="104"/>
      <c r="H35" s="104"/>
      <c r="I35" s="104"/>
      <c r="J35" s="104"/>
      <c r="K35" s="104"/>
      <c r="L35" s="104"/>
    </row>
    <row r="36" spans="2:15" x14ac:dyDescent="0.25">
      <c r="E36" s="104"/>
      <c r="F36" s="104"/>
      <c r="G36" s="104"/>
      <c r="H36" s="104"/>
      <c r="I36" s="104"/>
      <c r="J36" s="104"/>
      <c r="K36" s="104"/>
      <c r="L36" s="104"/>
    </row>
    <row r="37" spans="2:15" x14ac:dyDescent="0.25">
      <c r="E37" s="59" t="s">
        <v>40</v>
      </c>
      <c r="O37" s="92"/>
    </row>
    <row r="38" spans="2:15" x14ac:dyDescent="0.25">
      <c r="O38" s="92"/>
    </row>
    <row r="39" spans="2:15" x14ac:dyDescent="0.25">
      <c r="K39" s="58">
        <f>ROWS(TOTAL!82:159)-1</f>
        <v>77</v>
      </c>
      <c r="L39" s="9" t="s">
        <v>42</v>
      </c>
      <c r="O39" s="92"/>
    </row>
    <row r="40" spans="2:15" x14ac:dyDescent="0.25">
      <c r="B40" s="103" t="s">
        <v>54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O40" s="92"/>
    </row>
    <row r="41" spans="2:15" x14ac:dyDescent="0.25"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O41" s="92"/>
    </row>
    <row r="42" spans="2:15" x14ac:dyDescent="0.25"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O42" s="92"/>
    </row>
    <row r="43" spans="2:15" x14ac:dyDescent="0.25"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O43" s="92"/>
    </row>
    <row r="44" spans="2:15" x14ac:dyDescent="0.25"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O44" s="92"/>
    </row>
    <row r="45" spans="2:15" ht="48" customHeight="1" x14ac:dyDescent="0.25"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O45" s="92"/>
    </row>
    <row r="46" spans="2:15" x14ac:dyDescent="0.25">
      <c r="B46" t="str">
        <f>IF(TOTAL!M174="railway","By rail from","By rail.Then by sea")</f>
        <v>By rail from</v>
      </c>
      <c r="D46" s="57" t="str">
        <f>TOTAL!M172</f>
        <v>Syktyvkar,Russia</v>
      </c>
      <c r="F46" t="s">
        <v>43</v>
      </c>
      <c r="G46" s="57" t="e">
        <f ca="1">TOTAL!M173</f>
        <v>#REF!</v>
      </c>
      <c r="O46" s="92"/>
    </row>
    <row r="47" spans="2:15" x14ac:dyDescent="0.25">
      <c r="O47" s="92"/>
    </row>
    <row r="48" spans="2:15" x14ac:dyDescent="0.25">
      <c r="O48" s="92"/>
    </row>
    <row r="49" spans="2:15" ht="28.5" customHeight="1" x14ac:dyDescent="0.25">
      <c r="B49" s="5" t="s">
        <v>44</v>
      </c>
      <c r="C49" s="109" t="s">
        <v>45</v>
      </c>
      <c r="D49" s="109"/>
      <c r="E49" s="109"/>
      <c r="F49" s="109"/>
      <c r="G49" s="109"/>
      <c r="H49" s="64" t="s">
        <v>46</v>
      </c>
      <c r="I49" s="107" t="s">
        <v>47</v>
      </c>
      <c r="J49" s="107"/>
      <c r="K49" s="107" t="s">
        <v>48</v>
      </c>
      <c r="L49" s="108"/>
      <c r="O49" s="92"/>
    </row>
    <row r="50" spans="2:15" ht="15" customHeight="1" x14ac:dyDescent="0.25">
      <c r="B50" s="94">
        <v>1</v>
      </c>
      <c r="C50" s="110" t="e">
        <f ca="1">IF(TOTAL!Q82="сосна","Sawn timber Pinus sylvestris (Pine) /Пиломатериалы обрезные (доска) сосна;","Sawn timber, Picea abies (spruce)/Пиломатериалы обрезные (доска) Ель; ")</f>
        <v>#REF!</v>
      </c>
      <c r="D50" s="110"/>
      <c r="E50" s="110"/>
      <c r="F50" s="110"/>
      <c r="G50" s="110"/>
      <c r="H50" s="96" t="e">
        <f ca="1">IF(TOTAL!Q82="сосна",4407119401,4407129201)</f>
        <v>#REF!</v>
      </c>
      <c r="I50" s="98" t="e">
        <f ca="1">CONCATENATE(TOTAL!P81&amp;" "&amp;"packages")</f>
        <v>#REF!</v>
      </c>
      <c r="J50" s="99"/>
      <c r="K50" s="105" t="e">
        <f ca="1">CONCATENATE(TOTAL!N81&amp;" "&amp;"m3")</f>
        <v>#REF!</v>
      </c>
      <c r="L50" s="105"/>
      <c r="O50" s="92"/>
    </row>
    <row r="51" spans="2:15" x14ac:dyDescent="0.25">
      <c r="B51" s="95"/>
      <c r="C51" s="110"/>
      <c r="D51" s="110"/>
      <c r="E51" s="110"/>
      <c r="F51" s="110"/>
      <c r="G51" s="110"/>
      <c r="H51" s="97"/>
      <c r="I51" s="100"/>
      <c r="J51" s="101"/>
      <c r="K51" s="106" t="e">
        <f ca="1">CONCATENATE(TOTAL!T81&amp;" "&amp;"kg")</f>
        <v>#REF!</v>
      </c>
      <c r="L51" s="106"/>
      <c r="O51" s="92"/>
    </row>
    <row r="52" spans="2:15" x14ac:dyDescent="0.25">
      <c r="C52" s="11"/>
      <c r="D52" s="11"/>
      <c r="E52" s="11"/>
      <c r="F52" s="11"/>
      <c r="G52" s="11"/>
      <c r="O52" s="92"/>
    </row>
    <row r="53" spans="2:15" x14ac:dyDescent="0.25">
      <c r="O53" s="92"/>
    </row>
    <row r="54" spans="2:15" x14ac:dyDescent="0.25">
      <c r="O54" s="92"/>
    </row>
    <row r="55" spans="2:15" x14ac:dyDescent="0.25">
      <c r="E55" s="57" t="e">
        <f ca="1">C34</f>
        <v>#REF!</v>
      </c>
      <c r="O55" s="92"/>
    </row>
    <row r="56" spans="2:15" x14ac:dyDescent="0.25">
      <c r="O56" s="92"/>
    </row>
    <row r="57" spans="2:15" x14ac:dyDescent="0.25">
      <c r="O57" s="92"/>
    </row>
    <row r="58" spans="2:15" x14ac:dyDescent="0.25">
      <c r="O58" s="92"/>
    </row>
    <row r="59" spans="2:15" x14ac:dyDescent="0.25">
      <c r="B59" s="63" t="e">
        <f ca="1">C21</f>
        <v>#REF!</v>
      </c>
      <c r="O59" s="92"/>
    </row>
    <row r="60" spans="2:15" x14ac:dyDescent="0.25">
      <c r="O60" s="92"/>
    </row>
    <row r="61" spans="2:15" x14ac:dyDescent="0.25">
      <c r="O61" s="92"/>
    </row>
    <row r="62" spans="2:15" x14ac:dyDescent="0.25">
      <c r="O62" s="92"/>
    </row>
    <row r="63" spans="2:15" x14ac:dyDescent="0.25">
      <c r="O63" s="92"/>
    </row>
    <row r="64" spans="2:15" x14ac:dyDescent="0.25">
      <c r="O64" s="92"/>
    </row>
    <row r="65" spans="15:15" x14ac:dyDescent="0.25">
      <c r="O65" s="92"/>
    </row>
    <row r="66" spans="15:15" x14ac:dyDescent="0.25">
      <c r="O66" s="92"/>
    </row>
    <row r="67" spans="15:15" x14ac:dyDescent="0.25">
      <c r="O67" s="92"/>
    </row>
    <row r="68" spans="15:15" x14ac:dyDescent="0.25">
      <c r="O68" s="92"/>
    </row>
    <row r="69" spans="15:15" x14ac:dyDescent="0.25">
      <c r="O69" s="92"/>
    </row>
    <row r="70" spans="15:15" x14ac:dyDescent="0.25">
      <c r="O70" s="92"/>
    </row>
    <row r="71" spans="15:15" x14ac:dyDescent="0.25">
      <c r="O71" s="92"/>
    </row>
    <row r="72" spans="15:15" x14ac:dyDescent="0.25">
      <c r="O72" s="92"/>
    </row>
    <row r="73" spans="15:15" x14ac:dyDescent="0.25">
      <c r="O73" s="92"/>
    </row>
    <row r="74" spans="15:15" x14ac:dyDescent="0.25">
      <c r="O74" s="92"/>
    </row>
    <row r="75" spans="15:15" x14ac:dyDescent="0.25">
      <c r="O75" s="92"/>
    </row>
    <row r="76" spans="15:15" x14ac:dyDescent="0.25">
      <c r="O76" s="92"/>
    </row>
    <row r="77" spans="15:15" x14ac:dyDescent="0.25">
      <c r="O77" s="92"/>
    </row>
    <row r="78" spans="15:15" x14ac:dyDescent="0.25">
      <c r="O78" s="92"/>
    </row>
    <row r="79" spans="15:15" x14ac:dyDescent="0.25">
      <c r="O79" s="92"/>
    </row>
    <row r="80" spans="15:15" x14ac:dyDescent="0.25">
      <c r="O80" s="92"/>
    </row>
    <row r="81" spans="15:15" x14ac:dyDescent="0.25">
      <c r="O81" s="92"/>
    </row>
    <row r="82" spans="15:15" x14ac:dyDescent="0.25">
      <c r="O82" s="92"/>
    </row>
    <row r="83" spans="15:15" x14ac:dyDescent="0.25">
      <c r="O83" s="92"/>
    </row>
    <row r="84" spans="15:15" x14ac:dyDescent="0.25">
      <c r="O84" s="92"/>
    </row>
    <row r="85" spans="15:15" x14ac:dyDescent="0.25">
      <c r="O85" s="92"/>
    </row>
    <row r="86" spans="15:15" x14ac:dyDescent="0.25">
      <c r="O86" s="92"/>
    </row>
    <row r="87" spans="15:15" x14ac:dyDescent="0.25">
      <c r="O87" s="92"/>
    </row>
    <row r="88" spans="15:15" x14ac:dyDescent="0.25">
      <c r="O88" s="92"/>
    </row>
    <row r="89" spans="15:15" x14ac:dyDescent="0.25">
      <c r="O89" s="92"/>
    </row>
    <row r="90" spans="15:15" x14ac:dyDescent="0.25">
      <c r="O90" s="92"/>
    </row>
    <row r="91" spans="15:15" x14ac:dyDescent="0.25">
      <c r="O91" s="92"/>
    </row>
    <row r="92" spans="15:15" x14ac:dyDescent="0.25">
      <c r="O92" s="92"/>
    </row>
    <row r="93" spans="15:15" x14ac:dyDescent="0.25">
      <c r="O93" s="92"/>
    </row>
    <row r="94" spans="15:15" x14ac:dyDescent="0.25">
      <c r="O94" s="92"/>
    </row>
    <row r="95" spans="15:15" x14ac:dyDescent="0.25">
      <c r="O95" s="92"/>
    </row>
    <row r="96" spans="15:15" x14ac:dyDescent="0.25">
      <c r="O96" s="92"/>
    </row>
    <row r="97" spans="15:15" x14ac:dyDescent="0.25">
      <c r="O97" s="92"/>
    </row>
    <row r="98" spans="15:15" x14ac:dyDescent="0.25">
      <c r="O98" s="92"/>
    </row>
    <row r="99" spans="15:15" x14ac:dyDescent="0.25">
      <c r="O99" s="92"/>
    </row>
    <row r="100" spans="15:15" x14ac:dyDescent="0.25">
      <c r="O100" s="92"/>
    </row>
    <row r="101" spans="15:15" x14ac:dyDescent="0.25">
      <c r="O101" s="92"/>
    </row>
    <row r="102" spans="15:15" x14ac:dyDescent="0.25">
      <c r="O102" s="92"/>
    </row>
    <row r="103" spans="15:15" x14ac:dyDescent="0.25">
      <c r="O103" s="92"/>
    </row>
    <row r="104" spans="15:15" x14ac:dyDescent="0.25">
      <c r="O104" s="92"/>
    </row>
    <row r="105" spans="15:15" x14ac:dyDescent="0.25">
      <c r="O105" s="92"/>
    </row>
    <row r="106" spans="15:15" x14ac:dyDescent="0.25">
      <c r="O106" s="92"/>
    </row>
    <row r="107" spans="15:15" x14ac:dyDescent="0.25">
      <c r="O107" s="92"/>
    </row>
    <row r="108" spans="15:15" x14ac:dyDescent="0.25">
      <c r="O108" s="92"/>
    </row>
    <row r="109" spans="15:15" x14ac:dyDescent="0.25">
      <c r="O109" s="92"/>
    </row>
    <row r="110" spans="15:15" x14ac:dyDescent="0.25">
      <c r="O110" s="92"/>
    </row>
    <row r="111" spans="15:15" x14ac:dyDescent="0.25">
      <c r="O111" s="92"/>
    </row>
    <row r="112" spans="15:15" x14ac:dyDescent="0.25">
      <c r="O112" s="92"/>
    </row>
  </sheetData>
  <mergeCells count="14">
    <mergeCell ref="O37:O112"/>
    <mergeCell ref="I7:L8"/>
    <mergeCell ref="B50:B51"/>
    <mergeCell ref="H50:H51"/>
    <mergeCell ref="I50:J51"/>
    <mergeCell ref="C22:L23"/>
    <mergeCell ref="B40:L45"/>
    <mergeCell ref="E35:L36"/>
    <mergeCell ref="K50:L50"/>
    <mergeCell ref="K51:L51"/>
    <mergeCell ref="K49:L49"/>
    <mergeCell ref="I49:J49"/>
    <mergeCell ref="C49:G49"/>
    <mergeCell ref="C50:G51"/>
  </mergeCells>
  <pageMargins left="0.25" right="0.25" top="0.75" bottom="0.75" header="0.3" footer="0.3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3" tint="0.79998168889431442"/>
    <pageSetUpPr fitToPage="1"/>
  </sheetPr>
  <dimension ref="A1:Q138"/>
  <sheetViews>
    <sheetView zoomScale="55" zoomScaleNormal="55" zoomScaleSheetLayoutView="70" workbookViewId="0">
      <pane ySplit="1" topLeftCell="A2" activePane="bottomLeft" state="frozen"/>
      <selection activeCell="G121" sqref="G121"/>
      <selection pane="bottomLeft" activeCell="A2" sqref="A2"/>
    </sheetView>
  </sheetViews>
  <sheetFormatPr defaultRowHeight="23.25" x14ac:dyDescent="0.35"/>
  <cols>
    <col min="1" max="1" width="13" style="48" customWidth="1"/>
    <col min="2" max="2" width="14.5703125" style="48" customWidth="1"/>
    <col min="3" max="3" width="17.7109375" style="48" customWidth="1"/>
    <col min="4" max="4" width="17.7109375" style="48" hidden="1" customWidth="1"/>
    <col min="5" max="5" width="40.7109375" style="38" customWidth="1"/>
    <col min="6" max="6" width="37.140625" style="38" hidden="1" customWidth="1"/>
    <col min="7" max="7" width="15.42578125" style="38" customWidth="1"/>
    <col min="8" max="8" width="22.7109375" style="38" bestFit="1" customWidth="1"/>
    <col min="9" max="9" width="10.140625" style="38" customWidth="1"/>
    <col min="10" max="10" width="73.140625" style="38" customWidth="1"/>
    <col min="11" max="11" width="21.28515625" style="38" customWidth="1"/>
    <col min="12" max="13" width="30.85546875" style="38" customWidth="1"/>
    <col min="14" max="14" width="33" style="38" customWidth="1"/>
    <col min="15" max="15" width="24.140625" style="38" customWidth="1"/>
    <col min="16" max="16" width="37.85546875" style="38" bestFit="1" customWidth="1"/>
    <col min="17" max="17" width="28.85546875" style="38" bestFit="1" customWidth="1"/>
    <col min="18" max="211" width="10.140625" style="38" customWidth="1"/>
    <col min="212" max="212" width="16.5703125" style="38" customWidth="1"/>
    <col min="213" max="214" width="9.85546875" style="38" customWidth="1"/>
    <col min="215" max="215" width="10.85546875" style="38" customWidth="1"/>
    <col min="216" max="216" width="12.42578125" style="38" customWidth="1"/>
    <col min="217" max="217" width="16.28515625" style="38" customWidth="1"/>
    <col min="218" max="218" width="11.5703125" style="38" customWidth="1"/>
    <col min="219" max="219" width="10.28515625" style="38" customWidth="1"/>
    <col min="220" max="220" width="12.140625" style="38" customWidth="1"/>
    <col min="221" max="221" width="13.140625" style="38" customWidth="1"/>
    <col min="222" max="223" width="10.140625" style="38" customWidth="1"/>
    <col min="224" max="224" width="12.85546875" style="38" bestFit="1" customWidth="1"/>
    <col min="225" max="225" width="9.85546875" style="38" customWidth="1"/>
    <col min="226" max="226" width="6.7109375" style="38" customWidth="1"/>
    <col min="227" max="237" width="10.140625" style="38" customWidth="1"/>
    <col min="238" max="238" width="10.85546875" style="38" bestFit="1" customWidth="1"/>
    <col min="239" max="248" width="9.140625" style="38"/>
    <col min="249" max="249" width="13" style="38" customWidth="1"/>
    <col min="250" max="250" width="14.5703125" style="38" customWidth="1"/>
    <col min="251" max="251" width="25.85546875" style="38" customWidth="1"/>
    <col min="252" max="252" width="30.28515625" style="38" customWidth="1"/>
    <col min="253" max="253" width="18.5703125" style="38" customWidth="1"/>
    <col min="254" max="254" width="60.7109375" style="38" customWidth="1"/>
    <col min="255" max="255" width="12.5703125" style="38" customWidth="1"/>
    <col min="256" max="256" width="16.7109375" style="38" bestFit="1" customWidth="1"/>
    <col min="257" max="257" width="22.28515625" style="38" customWidth="1"/>
    <col min="258" max="258" width="22.28515625" style="38" bestFit="1" customWidth="1"/>
    <col min="259" max="259" width="20.85546875" style="38" customWidth="1"/>
    <col min="260" max="260" width="18.42578125" style="38" customWidth="1"/>
    <col min="261" max="261" width="20.28515625" style="38" customWidth="1"/>
    <col min="262" max="262" width="18.85546875" style="38" customWidth="1"/>
    <col min="263" max="266" width="9.140625" style="38" customWidth="1"/>
    <col min="267" max="467" width="10.140625" style="38" customWidth="1"/>
    <col min="468" max="468" width="16.5703125" style="38" customWidth="1"/>
    <col min="469" max="470" width="9.85546875" style="38" customWidth="1"/>
    <col min="471" max="471" width="10.85546875" style="38" customWidth="1"/>
    <col min="472" max="472" width="12.42578125" style="38" customWidth="1"/>
    <col min="473" max="473" width="16.28515625" style="38" customWidth="1"/>
    <col min="474" max="474" width="11.5703125" style="38" customWidth="1"/>
    <col min="475" max="475" width="10.28515625" style="38" customWidth="1"/>
    <col min="476" max="476" width="12.140625" style="38" customWidth="1"/>
    <col min="477" max="477" width="13.140625" style="38" customWidth="1"/>
    <col min="478" max="479" width="10.140625" style="38" customWidth="1"/>
    <col min="480" max="480" width="12.85546875" style="38" bestFit="1" customWidth="1"/>
    <col min="481" max="481" width="9.85546875" style="38" customWidth="1"/>
    <col min="482" max="482" width="6.7109375" style="38" customWidth="1"/>
    <col min="483" max="493" width="10.140625" style="38" customWidth="1"/>
    <col min="494" max="494" width="10.85546875" style="38" bestFit="1" customWidth="1"/>
    <col min="495" max="504" width="9.140625" style="38"/>
    <col min="505" max="505" width="13" style="38" customWidth="1"/>
    <col min="506" max="506" width="14.5703125" style="38" customWidth="1"/>
    <col min="507" max="507" width="25.85546875" style="38" customWidth="1"/>
    <col min="508" max="508" width="30.28515625" style="38" customWidth="1"/>
    <col min="509" max="509" width="18.5703125" style="38" customWidth="1"/>
    <col min="510" max="510" width="60.7109375" style="38" customWidth="1"/>
    <col min="511" max="511" width="12.5703125" style="38" customWidth="1"/>
    <col min="512" max="512" width="16.7109375" style="38" bestFit="1" customWidth="1"/>
    <col min="513" max="513" width="22.28515625" style="38" customWidth="1"/>
    <col min="514" max="514" width="22.28515625" style="38" bestFit="1" customWidth="1"/>
    <col min="515" max="515" width="20.85546875" style="38" customWidth="1"/>
    <col min="516" max="516" width="18.42578125" style="38" customWidth="1"/>
    <col min="517" max="517" width="20.28515625" style="38" customWidth="1"/>
    <col min="518" max="518" width="18.85546875" style="38" customWidth="1"/>
    <col min="519" max="522" width="9.140625" style="38" customWidth="1"/>
    <col min="523" max="723" width="10.140625" style="38" customWidth="1"/>
    <col min="724" max="724" width="16.5703125" style="38" customWidth="1"/>
    <col min="725" max="726" width="9.85546875" style="38" customWidth="1"/>
    <col min="727" max="727" width="10.85546875" style="38" customWidth="1"/>
    <col min="728" max="728" width="12.42578125" style="38" customWidth="1"/>
    <col min="729" max="729" width="16.28515625" style="38" customWidth="1"/>
    <col min="730" max="730" width="11.5703125" style="38" customWidth="1"/>
    <col min="731" max="731" width="10.28515625" style="38" customWidth="1"/>
    <col min="732" max="732" width="12.140625" style="38" customWidth="1"/>
    <col min="733" max="733" width="13.140625" style="38" customWidth="1"/>
    <col min="734" max="735" width="10.140625" style="38" customWidth="1"/>
    <col min="736" max="736" width="12.85546875" style="38" bestFit="1" customWidth="1"/>
    <col min="737" max="737" width="9.85546875" style="38" customWidth="1"/>
    <col min="738" max="738" width="6.7109375" style="38" customWidth="1"/>
    <col min="739" max="749" width="10.140625" style="38" customWidth="1"/>
    <col min="750" max="750" width="10.85546875" style="38" bestFit="1" customWidth="1"/>
    <col min="751" max="760" width="9.140625" style="38"/>
    <col min="761" max="761" width="13" style="38" customWidth="1"/>
    <col min="762" max="762" width="14.5703125" style="38" customWidth="1"/>
    <col min="763" max="763" width="25.85546875" style="38" customWidth="1"/>
    <col min="764" max="764" width="30.28515625" style="38" customWidth="1"/>
    <col min="765" max="765" width="18.5703125" style="38" customWidth="1"/>
    <col min="766" max="766" width="60.7109375" style="38" customWidth="1"/>
    <col min="767" max="767" width="12.5703125" style="38" customWidth="1"/>
    <col min="768" max="768" width="16.7109375" style="38" bestFit="1" customWidth="1"/>
    <col min="769" max="769" width="22.28515625" style="38" customWidth="1"/>
    <col min="770" max="770" width="22.28515625" style="38" bestFit="1" customWidth="1"/>
    <col min="771" max="771" width="20.85546875" style="38" customWidth="1"/>
    <col min="772" max="772" width="18.42578125" style="38" customWidth="1"/>
    <col min="773" max="773" width="20.28515625" style="38" customWidth="1"/>
    <col min="774" max="774" width="18.85546875" style="38" customWidth="1"/>
    <col min="775" max="778" width="9.140625" style="38" customWidth="1"/>
    <col min="779" max="979" width="10.140625" style="38" customWidth="1"/>
    <col min="980" max="980" width="16.5703125" style="38" customWidth="1"/>
    <col min="981" max="982" width="9.85546875" style="38" customWidth="1"/>
    <col min="983" max="983" width="10.85546875" style="38" customWidth="1"/>
    <col min="984" max="984" width="12.42578125" style="38" customWidth="1"/>
    <col min="985" max="985" width="16.28515625" style="38" customWidth="1"/>
    <col min="986" max="986" width="11.5703125" style="38" customWidth="1"/>
    <col min="987" max="987" width="10.28515625" style="38" customWidth="1"/>
    <col min="988" max="988" width="12.140625" style="38" customWidth="1"/>
    <col min="989" max="989" width="13.140625" style="38" customWidth="1"/>
    <col min="990" max="991" width="10.140625" style="38" customWidth="1"/>
    <col min="992" max="992" width="12.85546875" style="38" bestFit="1" customWidth="1"/>
    <col min="993" max="993" width="9.85546875" style="38" customWidth="1"/>
    <col min="994" max="994" width="6.7109375" style="38" customWidth="1"/>
    <col min="995" max="1005" width="10.140625" style="38" customWidth="1"/>
    <col min="1006" max="1006" width="10.85546875" style="38" bestFit="1" customWidth="1"/>
    <col min="1007" max="1016" width="9.140625" style="38"/>
    <col min="1017" max="1017" width="13" style="38" customWidth="1"/>
    <col min="1018" max="1018" width="14.5703125" style="38" customWidth="1"/>
    <col min="1019" max="1019" width="25.85546875" style="38" customWidth="1"/>
    <col min="1020" max="1020" width="30.28515625" style="38" customWidth="1"/>
    <col min="1021" max="1021" width="18.5703125" style="38" customWidth="1"/>
    <col min="1022" max="1022" width="60.7109375" style="38" customWidth="1"/>
    <col min="1023" max="1023" width="12.5703125" style="38" customWidth="1"/>
    <col min="1024" max="1024" width="16.7109375" style="38" bestFit="1" customWidth="1"/>
    <col min="1025" max="1025" width="22.28515625" style="38" customWidth="1"/>
    <col min="1026" max="1026" width="22.28515625" style="38" bestFit="1" customWidth="1"/>
    <col min="1027" max="1027" width="20.85546875" style="38" customWidth="1"/>
    <col min="1028" max="1028" width="18.42578125" style="38" customWidth="1"/>
    <col min="1029" max="1029" width="20.28515625" style="38" customWidth="1"/>
    <col min="1030" max="1030" width="18.85546875" style="38" customWidth="1"/>
    <col min="1031" max="1034" width="9.140625" style="38" customWidth="1"/>
    <col min="1035" max="1235" width="10.140625" style="38" customWidth="1"/>
    <col min="1236" max="1236" width="16.5703125" style="38" customWidth="1"/>
    <col min="1237" max="1238" width="9.85546875" style="38" customWidth="1"/>
    <col min="1239" max="1239" width="10.85546875" style="38" customWidth="1"/>
    <col min="1240" max="1240" width="12.42578125" style="38" customWidth="1"/>
    <col min="1241" max="1241" width="16.28515625" style="38" customWidth="1"/>
    <col min="1242" max="1242" width="11.5703125" style="38" customWidth="1"/>
    <col min="1243" max="1243" width="10.28515625" style="38" customWidth="1"/>
    <col min="1244" max="1244" width="12.140625" style="38" customWidth="1"/>
    <col min="1245" max="1245" width="13.140625" style="38" customWidth="1"/>
    <col min="1246" max="1247" width="10.140625" style="38" customWidth="1"/>
    <col min="1248" max="1248" width="12.85546875" style="38" bestFit="1" customWidth="1"/>
    <col min="1249" max="1249" width="9.85546875" style="38" customWidth="1"/>
    <col min="1250" max="1250" width="6.7109375" style="38" customWidth="1"/>
    <col min="1251" max="1261" width="10.140625" style="38" customWidth="1"/>
    <col min="1262" max="1262" width="10.85546875" style="38" bestFit="1" customWidth="1"/>
    <col min="1263" max="1272" width="9.140625" style="38"/>
    <col min="1273" max="1273" width="13" style="38" customWidth="1"/>
    <col min="1274" max="1274" width="14.5703125" style="38" customWidth="1"/>
    <col min="1275" max="1275" width="25.85546875" style="38" customWidth="1"/>
    <col min="1276" max="1276" width="30.28515625" style="38" customWidth="1"/>
    <col min="1277" max="1277" width="18.5703125" style="38" customWidth="1"/>
    <col min="1278" max="1278" width="60.7109375" style="38" customWidth="1"/>
    <col min="1279" max="1279" width="12.5703125" style="38" customWidth="1"/>
    <col min="1280" max="1280" width="16.7109375" style="38" bestFit="1" customWidth="1"/>
    <col min="1281" max="1281" width="22.28515625" style="38" customWidth="1"/>
    <col min="1282" max="1282" width="22.28515625" style="38" bestFit="1" customWidth="1"/>
    <col min="1283" max="1283" width="20.85546875" style="38" customWidth="1"/>
    <col min="1284" max="1284" width="18.42578125" style="38" customWidth="1"/>
    <col min="1285" max="1285" width="20.28515625" style="38" customWidth="1"/>
    <col min="1286" max="1286" width="18.85546875" style="38" customWidth="1"/>
    <col min="1287" max="1290" width="9.140625" style="38" customWidth="1"/>
    <col min="1291" max="1491" width="10.140625" style="38" customWidth="1"/>
    <col min="1492" max="1492" width="16.5703125" style="38" customWidth="1"/>
    <col min="1493" max="1494" width="9.85546875" style="38" customWidth="1"/>
    <col min="1495" max="1495" width="10.85546875" style="38" customWidth="1"/>
    <col min="1496" max="1496" width="12.42578125" style="38" customWidth="1"/>
    <col min="1497" max="1497" width="16.28515625" style="38" customWidth="1"/>
    <col min="1498" max="1498" width="11.5703125" style="38" customWidth="1"/>
    <col min="1499" max="1499" width="10.28515625" style="38" customWidth="1"/>
    <col min="1500" max="1500" width="12.140625" style="38" customWidth="1"/>
    <col min="1501" max="1501" width="13.140625" style="38" customWidth="1"/>
    <col min="1502" max="1503" width="10.140625" style="38" customWidth="1"/>
    <col min="1504" max="1504" width="12.85546875" style="38" bestFit="1" customWidth="1"/>
    <col min="1505" max="1505" width="9.85546875" style="38" customWidth="1"/>
    <col min="1506" max="1506" width="6.7109375" style="38" customWidth="1"/>
    <col min="1507" max="1517" width="10.140625" style="38" customWidth="1"/>
    <col min="1518" max="1518" width="10.85546875" style="38" bestFit="1" customWidth="1"/>
    <col min="1519" max="1528" width="9.140625" style="38"/>
    <col min="1529" max="1529" width="13" style="38" customWidth="1"/>
    <col min="1530" max="1530" width="14.5703125" style="38" customWidth="1"/>
    <col min="1531" max="1531" width="25.85546875" style="38" customWidth="1"/>
    <col min="1532" max="1532" width="30.28515625" style="38" customWidth="1"/>
    <col min="1533" max="1533" width="18.5703125" style="38" customWidth="1"/>
    <col min="1534" max="1534" width="60.7109375" style="38" customWidth="1"/>
    <col min="1535" max="1535" width="12.5703125" style="38" customWidth="1"/>
    <col min="1536" max="1536" width="16.7109375" style="38" bestFit="1" customWidth="1"/>
    <col min="1537" max="1537" width="22.28515625" style="38" customWidth="1"/>
    <col min="1538" max="1538" width="22.28515625" style="38" bestFit="1" customWidth="1"/>
    <col min="1539" max="1539" width="20.85546875" style="38" customWidth="1"/>
    <col min="1540" max="1540" width="18.42578125" style="38" customWidth="1"/>
    <col min="1541" max="1541" width="20.28515625" style="38" customWidth="1"/>
    <col min="1542" max="1542" width="18.85546875" style="38" customWidth="1"/>
    <col min="1543" max="1546" width="9.140625" style="38" customWidth="1"/>
    <col min="1547" max="1747" width="10.140625" style="38" customWidth="1"/>
    <col min="1748" max="1748" width="16.5703125" style="38" customWidth="1"/>
    <col min="1749" max="1750" width="9.85546875" style="38" customWidth="1"/>
    <col min="1751" max="1751" width="10.85546875" style="38" customWidth="1"/>
    <col min="1752" max="1752" width="12.42578125" style="38" customWidth="1"/>
    <col min="1753" max="1753" width="16.28515625" style="38" customWidth="1"/>
    <col min="1754" max="1754" width="11.5703125" style="38" customWidth="1"/>
    <col min="1755" max="1755" width="10.28515625" style="38" customWidth="1"/>
    <col min="1756" max="1756" width="12.140625" style="38" customWidth="1"/>
    <col min="1757" max="1757" width="13.140625" style="38" customWidth="1"/>
    <col min="1758" max="1759" width="10.140625" style="38" customWidth="1"/>
    <col min="1760" max="1760" width="12.85546875" style="38" bestFit="1" customWidth="1"/>
    <col min="1761" max="1761" width="9.85546875" style="38" customWidth="1"/>
    <col min="1762" max="1762" width="6.7109375" style="38" customWidth="1"/>
    <col min="1763" max="1773" width="10.140625" style="38" customWidth="1"/>
    <col min="1774" max="1774" width="10.85546875" style="38" bestFit="1" customWidth="1"/>
    <col min="1775" max="1784" width="9.140625" style="38"/>
    <col min="1785" max="1785" width="13" style="38" customWidth="1"/>
    <col min="1786" max="1786" width="14.5703125" style="38" customWidth="1"/>
    <col min="1787" max="1787" width="25.85546875" style="38" customWidth="1"/>
    <col min="1788" max="1788" width="30.28515625" style="38" customWidth="1"/>
    <col min="1789" max="1789" width="18.5703125" style="38" customWidth="1"/>
    <col min="1790" max="1790" width="60.7109375" style="38" customWidth="1"/>
    <col min="1791" max="1791" width="12.5703125" style="38" customWidth="1"/>
    <col min="1792" max="1792" width="16.7109375" style="38" bestFit="1" customWidth="1"/>
    <col min="1793" max="1793" width="22.28515625" style="38" customWidth="1"/>
    <col min="1794" max="1794" width="22.28515625" style="38" bestFit="1" customWidth="1"/>
    <col min="1795" max="1795" width="20.85546875" style="38" customWidth="1"/>
    <col min="1796" max="1796" width="18.42578125" style="38" customWidth="1"/>
    <col min="1797" max="1797" width="20.28515625" style="38" customWidth="1"/>
    <col min="1798" max="1798" width="18.85546875" style="38" customWidth="1"/>
    <col min="1799" max="1802" width="9.140625" style="38" customWidth="1"/>
    <col min="1803" max="2003" width="10.140625" style="38" customWidth="1"/>
    <col min="2004" max="2004" width="16.5703125" style="38" customWidth="1"/>
    <col min="2005" max="2006" width="9.85546875" style="38" customWidth="1"/>
    <col min="2007" max="2007" width="10.85546875" style="38" customWidth="1"/>
    <col min="2008" max="2008" width="12.42578125" style="38" customWidth="1"/>
    <col min="2009" max="2009" width="16.28515625" style="38" customWidth="1"/>
    <col min="2010" max="2010" width="11.5703125" style="38" customWidth="1"/>
    <col min="2011" max="2011" width="10.28515625" style="38" customWidth="1"/>
    <col min="2012" max="2012" width="12.140625" style="38" customWidth="1"/>
    <col min="2013" max="2013" width="13.140625" style="38" customWidth="1"/>
    <col min="2014" max="2015" width="10.140625" style="38" customWidth="1"/>
    <col min="2016" max="2016" width="12.85546875" style="38" bestFit="1" customWidth="1"/>
    <col min="2017" max="2017" width="9.85546875" style="38" customWidth="1"/>
    <col min="2018" max="2018" width="6.7109375" style="38" customWidth="1"/>
    <col min="2019" max="2029" width="10.140625" style="38" customWidth="1"/>
    <col min="2030" max="2030" width="10.85546875" style="38" bestFit="1" customWidth="1"/>
    <col min="2031" max="2040" width="9.140625" style="38"/>
    <col min="2041" max="2041" width="13" style="38" customWidth="1"/>
    <col min="2042" max="2042" width="14.5703125" style="38" customWidth="1"/>
    <col min="2043" max="2043" width="25.85546875" style="38" customWidth="1"/>
    <col min="2044" max="2044" width="30.28515625" style="38" customWidth="1"/>
    <col min="2045" max="2045" width="18.5703125" style="38" customWidth="1"/>
    <col min="2046" max="2046" width="60.7109375" style="38" customWidth="1"/>
    <col min="2047" max="2047" width="12.5703125" style="38" customWidth="1"/>
    <col min="2048" max="2048" width="16.7109375" style="38" bestFit="1" customWidth="1"/>
    <col min="2049" max="2049" width="22.28515625" style="38" customWidth="1"/>
    <col min="2050" max="2050" width="22.28515625" style="38" bestFit="1" customWidth="1"/>
    <col min="2051" max="2051" width="20.85546875" style="38" customWidth="1"/>
    <col min="2052" max="2052" width="18.42578125" style="38" customWidth="1"/>
    <col min="2053" max="2053" width="20.28515625" style="38" customWidth="1"/>
    <col min="2054" max="2054" width="18.85546875" style="38" customWidth="1"/>
    <col min="2055" max="2058" width="9.140625" style="38" customWidth="1"/>
    <col min="2059" max="2259" width="10.140625" style="38" customWidth="1"/>
    <col min="2260" max="2260" width="16.5703125" style="38" customWidth="1"/>
    <col min="2261" max="2262" width="9.85546875" style="38" customWidth="1"/>
    <col min="2263" max="2263" width="10.85546875" style="38" customWidth="1"/>
    <col min="2264" max="2264" width="12.42578125" style="38" customWidth="1"/>
    <col min="2265" max="2265" width="16.28515625" style="38" customWidth="1"/>
    <col min="2266" max="2266" width="11.5703125" style="38" customWidth="1"/>
    <col min="2267" max="2267" width="10.28515625" style="38" customWidth="1"/>
    <col min="2268" max="2268" width="12.140625" style="38" customWidth="1"/>
    <col min="2269" max="2269" width="13.140625" style="38" customWidth="1"/>
    <col min="2270" max="2271" width="10.140625" style="38" customWidth="1"/>
    <col min="2272" max="2272" width="12.85546875" style="38" bestFit="1" customWidth="1"/>
    <col min="2273" max="2273" width="9.85546875" style="38" customWidth="1"/>
    <col min="2274" max="2274" width="6.7109375" style="38" customWidth="1"/>
    <col min="2275" max="2285" width="10.140625" style="38" customWidth="1"/>
    <col min="2286" max="2286" width="10.85546875" style="38" bestFit="1" customWidth="1"/>
    <col min="2287" max="2296" width="9.140625" style="38"/>
    <col min="2297" max="2297" width="13" style="38" customWidth="1"/>
    <col min="2298" max="2298" width="14.5703125" style="38" customWidth="1"/>
    <col min="2299" max="2299" width="25.85546875" style="38" customWidth="1"/>
    <col min="2300" max="2300" width="30.28515625" style="38" customWidth="1"/>
    <col min="2301" max="2301" width="18.5703125" style="38" customWidth="1"/>
    <col min="2302" max="2302" width="60.7109375" style="38" customWidth="1"/>
    <col min="2303" max="2303" width="12.5703125" style="38" customWidth="1"/>
    <col min="2304" max="2304" width="16.7109375" style="38" bestFit="1" customWidth="1"/>
    <col min="2305" max="2305" width="22.28515625" style="38" customWidth="1"/>
    <col min="2306" max="2306" width="22.28515625" style="38" bestFit="1" customWidth="1"/>
    <col min="2307" max="2307" width="20.85546875" style="38" customWidth="1"/>
    <col min="2308" max="2308" width="18.42578125" style="38" customWidth="1"/>
    <col min="2309" max="2309" width="20.28515625" style="38" customWidth="1"/>
    <col min="2310" max="2310" width="18.85546875" style="38" customWidth="1"/>
    <col min="2311" max="2314" width="9.140625" style="38" customWidth="1"/>
    <col min="2315" max="2515" width="10.140625" style="38" customWidth="1"/>
    <col min="2516" max="2516" width="16.5703125" style="38" customWidth="1"/>
    <col min="2517" max="2518" width="9.85546875" style="38" customWidth="1"/>
    <col min="2519" max="2519" width="10.85546875" style="38" customWidth="1"/>
    <col min="2520" max="2520" width="12.42578125" style="38" customWidth="1"/>
    <col min="2521" max="2521" width="16.28515625" style="38" customWidth="1"/>
    <col min="2522" max="2522" width="11.5703125" style="38" customWidth="1"/>
    <col min="2523" max="2523" width="10.28515625" style="38" customWidth="1"/>
    <col min="2524" max="2524" width="12.140625" style="38" customWidth="1"/>
    <col min="2525" max="2525" width="13.140625" style="38" customWidth="1"/>
    <col min="2526" max="2527" width="10.140625" style="38" customWidth="1"/>
    <col min="2528" max="2528" width="12.85546875" style="38" bestFit="1" customWidth="1"/>
    <col min="2529" max="2529" width="9.85546875" style="38" customWidth="1"/>
    <col min="2530" max="2530" width="6.7109375" style="38" customWidth="1"/>
    <col min="2531" max="2541" width="10.140625" style="38" customWidth="1"/>
    <col min="2542" max="2542" width="10.85546875" style="38" bestFit="1" customWidth="1"/>
    <col min="2543" max="2552" width="9.140625" style="38"/>
    <col min="2553" max="2553" width="13" style="38" customWidth="1"/>
    <col min="2554" max="2554" width="14.5703125" style="38" customWidth="1"/>
    <col min="2555" max="2555" width="25.85546875" style="38" customWidth="1"/>
    <col min="2556" max="2556" width="30.28515625" style="38" customWidth="1"/>
    <col min="2557" max="2557" width="18.5703125" style="38" customWidth="1"/>
    <col min="2558" max="2558" width="60.7109375" style="38" customWidth="1"/>
    <col min="2559" max="2559" width="12.5703125" style="38" customWidth="1"/>
    <col min="2560" max="2560" width="16.7109375" style="38" bestFit="1" customWidth="1"/>
    <col min="2561" max="2561" width="22.28515625" style="38" customWidth="1"/>
    <col min="2562" max="2562" width="22.28515625" style="38" bestFit="1" customWidth="1"/>
    <col min="2563" max="2563" width="20.85546875" style="38" customWidth="1"/>
    <col min="2564" max="2564" width="18.42578125" style="38" customWidth="1"/>
    <col min="2565" max="2565" width="20.28515625" style="38" customWidth="1"/>
    <col min="2566" max="2566" width="18.85546875" style="38" customWidth="1"/>
    <col min="2567" max="2570" width="9.140625" style="38" customWidth="1"/>
    <col min="2571" max="2771" width="10.140625" style="38" customWidth="1"/>
    <col min="2772" max="2772" width="16.5703125" style="38" customWidth="1"/>
    <col min="2773" max="2774" width="9.85546875" style="38" customWidth="1"/>
    <col min="2775" max="2775" width="10.85546875" style="38" customWidth="1"/>
    <col min="2776" max="2776" width="12.42578125" style="38" customWidth="1"/>
    <col min="2777" max="2777" width="16.28515625" style="38" customWidth="1"/>
    <col min="2778" max="2778" width="11.5703125" style="38" customWidth="1"/>
    <col min="2779" max="2779" width="10.28515625" style="38" customWidth="1"/>
    <col min="2780" max="2780" width="12.140625" style="38" customWidth="1"/>
    <col min="2781" max="2781" width="13.140625" style="38" customWidth="1"/>
    <col min="2782" max="2783" width="10.140625" style="38" customWidth="1"/>
    <col min="2784" max="2784" width="12.85546875" style="38" bestFit="1" customWidth="1"/>
    <col min="2785" max="2785" width="9.85546875" style="38" customWidth="1"/>
    <col min="2786" max="2786" width="6.7109375" style="38" customWidth="1"/>
    <col min="2787" max="2797" width="10.140625" style="38" customWidth="1"/>
    <col min="2798" max="2798" width="10.85546875" style="38" bestFit="1" customWidth="1"/>
    <col min="2799" max="2808" width="9.140625" style="38"/>
    <col min="2809" max="2809" width="13" style="38" customWidth="1"/>
    <col min="2810" max="2810" width="14.5703125" style="38" customWidth="1"/>
    <col min="2811" max="2811" width="25.85546875" style="38" customWidth="1"/>
    <col min="2812" max="2812" width="30.28515625" style="38" customWidth="1"/>
    <col min="2813" max="2813" width="18.5703125" style="38" customWidth="1"/>
    <col min="2814" max="2814" width="60.7109375" style="38" customWidth="1"/>
    <col min="2815" max="2815" width="12.5703125" style="38" customWidth="1"/>
    <col min="2816" max="2816" width="16.7109375" style="38" bestFit="1" customWidth="1"/>
    <col min="2817" max="2817" width="22.28515625" style="38" customWidth="1"/>
    <col min="2818" max="2818" width="22.28515625" style="38" bestFit="1" customWidth="1"/>
    <col min="2819" max="2819" width="20.85546875" style="38" customWidth="1"/>
    <col min="2820" max="2820" width="18.42578125" style="38" customWidth="1"/>
    <col min="2821" max="2821" width="20.28515625" style="38" customWidth="1"/>
    <col min="2822" max="2822" width="18.85546875" style="38" customWidth="1"/>
    <col min="2823" max="2826" width="9.140625" style="38" customWidth="1"/>
    <col min="2827" max="3027" width="10.140625" style="38" customWidth="1"/>
    <col min="3028" max="3028" width="16.5703125" style="38" customWidth="1"/>
    <col min="3029" max="3030" width="9.85546875" style="38" customWidth="1"/>
    <col min="3031" max="3031" width="10.85546875" style="38" customWidth="1"/>
    <col min="3032" max="3032" width="12.42578125" style="38" customWidth="1"/>
    <col min="3033" max="3033" width="16.28515625" style="38" customWidth="1"/>
    <col min="3034" max="3034" width="11.5703125" style="38" customWidth="1"/>
    <col min="3035" max="3035" width="10.28515625" style="38" customWidth="1"/>
    <col min="3036" max="3036" width="12.140625" style="38" customWidth="1"/>
    <col min="3037" max="3037" width="13.140625" style="38" customWidth="1"/>
    <col min="3038" max="3039" width="10.140625" style="38" customWidth="1"/>
    <col min="3040" max="3040" width="12.85546875" style="38" bestFit="1" customWidth="1"/>
    <col min="3041" max="3041" width="9.85546875" style="38" customWidth="1"/>
    <col min="3042" max="3042" width="6.7109375" style="38" customWidth="1"/>
    <col min="3043" max="3053" width="10.140625" style="38" customWidth="1"/>
    <col min="3054" max="3054" width="10.85546875" style="38" bestFit="1" customWidth="1"/>
    <col min="3055" max="3064" width="9.140625" style="38"/>
    <col min="3065" max="3065" width="13" style="38" customWidth="1"/>
    <col min="3066" max="3066" width="14.5703125" style="38" customWidth="1"/>
    <col min="3067" max="3067" width="25.85546875" style="38" customWidth="1"/>
    <col min="3068" max="3068" width="30.28515625" style="38" customWidth="1"/>
    <col min="3069" max="3069" width="18.5703125" style="38" customWidth="1"/>
    <col min="3070" max="3070" width="60.7109375" style="38" customWidth="1"/>
    <col min="3071" max="3071" width="12.5703125" style="38" customWidth="1"/>
    <col min="3072" max="3072" width="16.7109375" style="38" bestFit="1" customWidth="1"/>
    <col min="3073" max="3073" width="22.28515625" style="38" customWidth="1"/>
    <col min="3074" max="3074" width="22.28515625" style="38" bestFit="1" customWidth="1"/>
    <col min="3075" max="3075" width="20.85546875" style="38" customWidth="1"/>
    <col min="3076" max="3076" width="18.42578125" style="38" customWidth="1"/>
    <col min="3077" max="3077" width="20.28515625" style="38" customWidth="1"/>
    <col min="3078" max="3078" width="18.85546875" style="38" customWidth="1"/>
    <col min="3079" max="3082" width="9.140625" style="38" customWidth="1"/>
    <col min="3083" max="3283" width="10.140625" style="38" customWidth="1"/>
    <col min="3284" max="3284" width="16.5703125" style="38" customWidth="1"/>
    <col min="3285" max="3286" width="9.85546875" style="38" customWidth="1"/>
    <col min="3287" max="3287" width="10.85546875" style="38" customWidth="1"/>
    <col min="3288" max="3288" width="12.42578125" style="38" customWidth="1"/>
    <col min="3289" max="3289" width="16.28515625" style="38" customWidth="1"/>
    <col min="3290" max="3290" width="11.5703125" style="38" customWidth="1"/>
    <col min="3291" max="3291" width="10.28515625" style="38" customWidth="1"/>
    <col min="3292" max="3292" width="12.140625" style="38" customWidth="1"/>
    <col min="3293" max="3293" width="13.140625" style="38" customWidth="1"/>
    <col min="3294" max="3295" width="10.140625" style="38" customWidth="1"/>
    <col min="3296" max="3296" width="12.85546875" style="38" bestFit="1" customWidth="1"/>
    <col min="3297" max="3297" width="9.85546875" style="38" customWidth="1"/>
    <col min="3298" max="3298" width="6.7109375" style="38" customWidth="1"/>
    <col min="3299" max="3309" width="10.140625" style="38" customWidth="1"/>
    <col min="3310" max="3310" width="10.85546875" style="38" bestFit="1" customWidth="1"/>
    <col min="3311" max="3320" width="9.140625" style="38"/>
    <col min="3321" max="3321" width="13" style="38" customWidth="1"/>
    <col min="3322" max="3322" width="14.5703125" style="38" customWidth="1"/>
    <col min="3323" max="3323" width="25.85546875" style="38" customWidth="1"/>
    <col min="3324" max="3324" width="30.28515625" style="38" customWidth="1"/>
    <col min="3325" max="3325" width="18.5703125" style="38" customWidth="1"/>
    <col min="3326" max="3326" width="60.7109375" style="38" customWidth="1"/>
    <col min="3327" max="3327" width="12.5703125" style="38" customWidth="1"/>
    <col min="3328" max="3328" width="16.7109375" style="38" bestFit="1" customWidth="1"/>
    <col min="3329" max="3329" width="22.28515625" style="38" customWidth="1"/>
    <col min="3330" max="3330" width="22.28515625" style="38" bestFit="1" customWidth="1"/>
    <col min="3331" max="3331" width="20.85546875" style="38" customWidth="1"/>
    <col min="3332" max="3332" width="18.42578125" style="38" customWidth="1"/>
    <col min="3333" max="3333" width="20.28515625" style="38" customWidth="1"/>
    <col min="3334" max="3334" width="18.85546875" style="38" customWidth="1"/>
    <col min="3335" max="3338" width="9.140625" style="38" customWidth="1"/>
    <col min="3339" max="3539" width="10.140625" style="38" customWidth="1"/>
    <col min="3540" max="3540" width="16.5703125" style="38" customWidth="1"/>
    <col min="3541" max="3542" width="9.85546875" style="38" customWidth="1"/>
    <col min="3543" max="3543" width="10.85546875" style="38" customWidth="1"/>
    <col min="3544" max="3544" width="12.42578125" style="38" customWidth="1"/>
    <col min="3545" max="3545" width="16.28515625" style="38" customWidth="1"/>
    <col min="3546" max="3546" width="11.5703125" style="38" customWidth="1"/>
    <col min="3547" max="3547" width="10.28515625" style="38" customWidth="1"/>
    <col min="3548" max="3548" width="12.140625" style="38" customWidth="1"/>
    <col min="3549" max="3549" width="13.140625" style="38" customWidth="1"/>
    <col min="3550" max="3551" width="10.140625" style="38" customWidth="1"/>
    <col min="3552" max="3552" width="12.85546875" style="38" bestFit="1" customWidth="1"/>
    <col min="3553" max="3553" width="9.85546875" style="38" customWidth="1"/>
    <col min="3554" max="3554" width="6.7109375" style="38" customWidth="1"/>
    <col min="3555" max="3565" width="10.140625" style="38" customWidth="1"/>
    <col min="3566" max="3566" width="10.85546875" style="38" bestFit="1" customWidth="1"/>
    <col min="3567" max="3576" width="9.140625" style="38"/>
    <col min="3577" max="3577" width="13" style="38" customWidth="1"/>
    <col min="3578" max="3578" width="14.5703125" style="38" customWidth="1"/>
    <col min="3579" max="3579" width="25.85546875" style="38" customWidth="1"/>
    <col min="3580" max="3580" width="30.28515625" style="38" customWidth="1"/>
    <col min="3581" max="3581" width="18.5703125" style="38" customWidth="1"/>
    <col min="3582" max="3582" width="60.7109375" style="38" customWidth="1"/>
    <col min="3583" max="3583" width="12.5703125" style="38" customWidth="1"/>
    <col min="3584" max="3584" width="16.7109375" style="38" bestFit="1" customWidth="1"/>
    <col min="3585" max="3585" width="22.28515625" style="38" customWidth="1"/>
    <col min="3586" max="3586" width="22.28515625" style="38" bestFit="1" customWidth="1"/>
    <col min="3587" max="3587" width="20.85546875" style="38" customWidth="1"/>
    <col min="3588" max="3588" width="18.42578125" style="38" customWidth="1"/>
    <col min="3589" max="3589" width="20.28515625" style="38" customWidth="1"/>
    <col min="3590" max="3590" width="18.85546875" style="38" customWidth="1"/>
    <col min="3591" max="3594" width="9.140625" style="38" customWidth="1"/>
    <col min="3595" max="3795" width="10.140625" style="38" customWidth="1"/>
    <col min="3796" max="3796" width="16.5703125" style="38" customWidth="1"/>
    <col min="3797" max="3798" width="9.85546875" style="38" customWidth="1"/>
    <col min="3799" max="3799" width="10.85546875" style="38" customWidth="1"/>
    <col min="3800" max="3800" width="12.42578125" style="38" customWidth="1"/>
    <col min="3801" max="3801" width="16.28515625" style="38" customWidth="1"/>
    <col min="3802" max="3802" width="11.5703125" style="38" customWidth="1"/>
    <col min="3803" max="3803" width="10.28515625" style="38" customWidth="1"/>
    <col min="3804" max="3804" width="12.140625" style="38" customWidth="1"/>
    <col min="3805" max="3805" width="13.140625" style="38" customWidth="1"/>
    <col min="3806" max="3807" width="10.140625" style="38" customWidth="1"/>
    <col min="3808" max="3808" width="12.85546875" style="38" bestFit="1" customWidth="1"/>
    <col min="3809" max="3809" width="9.85546875" style="38" customWidth="1"/>
    <col min="3810" max="3810" width="6.7109375" style="38" customWidth="1"/>
    <col min="3811" max="3821" width="10.140625" style="38" customWidth="1"/>
    <col min="3822" max="3822" width="10.85546875" style="38" bestFit="1" customWidth="1"/>
    <col min="3823" max="3832" width="9.140625" style="38"/>
    <col min="3833" max="3833" width="13" style="38" customWidth="1"/>
    <col min="3834" max="3834" width="14.5703125" style="38" customWidth="1"/>
    <col min="3835" max="3835" width="25.85546875" style="38" customWidth="1"/>
    <col min="3836" max="3836" width="30.28515625" style="38" customWidth="1"/>
    <col min="3837" max="3837" width="18.5703125" style="38" customWidth="1"/>
    <col min="3838" max="3838" width="60.7109375" style="38" customWidth="1"/>
    <col min="3839" max="3839" width="12.5703125" style="38" customWidth="1"/>
    <col min="3840" max="3840" width="16.7109375" style="38" bestFit="1" customWidth="1"/>
    <col min="3841" max="3841" width="22.28515625" style="38" customWidth="1"/>
    <col min="3842" max="3842" width="22.28515625" style="38" bestFit="1" customWidth="1"/>
    <col min="3843" max="3843" width="20.85546875" style="38" customWidth="1"/>
    <col min="3844" max="3844" width="18.42578125" style="38" customWidth="1"/>
    <col min="3845" max="3845" width="20.28515625" style="38" customWidth="1"/>
    <col min="3846" max="3846" width="18.85546875" style="38" customWidth="1"/>
    <col min="3847" max="3850" width="9.140625" style="38" customWidth="1"/>
    <col min="3851" max="4051" width="10.140625" style="38" customWidth="1"/>
    <col min="4052" max="4052" width="16.5703125" style="38" customWidth="1"/>
    <col min="4053" max="4054" width="9.85546875" style="38" customWidth="1"/>
    <col min="4055" max="4055" width="10.85546875" style="38" customWidth="1"/>
    <col min="4056" max="4056" width="12.42578125" style="38" customWidth="1"/>
    <col min="4057" max="4057" width="16.28515625" style="38" customWidth="1"/>
    <col min="4058" max="4058" width="11.5703125" style="38" customWidth="1"/>
    <col min="4059" max="4059" width="10.28515625" style="38" customWidth="1"/>
    <col min="4060" max="4060" width="12.140625" style="38" customWidth="1"/>
    <col min="4061" max="4061" width="13.140625" style="38" customWidth="1"/>
    <col min="4062" max="4063" width="10.140625" style="38" customWidth="1"/>
    <col min="4064" max="4064" width="12.85546875" style="38" bestFit="1" customWidth="1"/>
    <col min="4065" max="4065" width="9.85546875" style="38" customWidth="1"/>
    <col min="4066" max="4066" width="6.7109375" style="38" customWidth="1"/>
    <col min="4067" max="4077" width="10.140625" style="38" customWidth="1"/>
    <col min="4078" max="4078" width="10.85546875" style="38" bestFit="1" customWidth="1"/>
    <col min="4079" max="4088" width="9.140625" style="38"/>
    <col min="4089" max="4089" width="13" style="38" customWidth="1"/>
    <col min="4090" max="4090" width="14.5703125" style="38" customWidth="1"/>
    <col min="4091" max="4091" width="25.85546875" style="38" customWidth="1"/>
    <col min="4092" max="4092" width="30.28515625" style="38" customWidth="1"/>
    <col min="4093" max="4093" width="18.5703125" style="38" customWidth="1"/>
    <col min="4094" max="4094" width="60.7109375" style="38" customWidth="1"/>
    <col min="4095" max="4095" width="12.5703125" style="38" customWidth="1"/>
    <col min="4096" max="4096" width="16.7109375" style="38" bestFit="1" customWidth="1"/>
    <col min="4097" max="4097" width="22.28515625" style="38" customWidth="1"/>
    <col min="4098" max="4098" width="22.28515625" style="38" bestFit="1" customWidth="1"/>
    <col min="4099" max="4099" width="20.85546875" style="38" customWidth="1"/>
    <col min="4100" max="4100" width="18.42578125" style="38" customWidth="1"/>
    <col min="4101" max="4101" width="20.28515625" style="38" customWidth="1"/>
    <col min="4102" max="4102" width="18.85546875" style="38" customWidth="1"/>
    <col min="4103" max="4106" width="9.140625" style="38" customWidth="1"/>
    <col min="4107" max="4307" width="10.140625" style="38" customWidth="1"/>
    <col min="4308" max="4308" width="16.5703125" style="38" customWidth="1"/>
    <col min="4309" max="4310" width="9.85546875" style="38" customWidth="1"/>
    <col min="4311" max="4311" width="10.85546875" style="38" customWidth="1"/>
    <col min="4312" max="4312" width="12.42578125" style="38" customWidth="1"/>
    <col min="4313" max="4313" width="16.28515625" style="38" customWidth="1"/>
    <col min="4314" max="4314" width="11.5703125" style="38" customWidth="1"/>
    <col min="4315" max="4315" width="10.28515625" style="38" customWidth="1"/>
    <col min="4316" max="4316" width="12.140625" style="38" customWidth="1"/>
    <col min="4317" max="4317" width="13.140625" style="38" customWidth="1"/>
    <col min="4318" max="4319" width="10.140625" style="38" customWidth="1"/>
    <col min="4320" max="4320" width="12.85546875" style="38" bestFit="1" customWidth="1"/>
    <col min="4321" max="4321" width="9.85546875" style="38" customWidth="1"/>
    <col min="4322" max="4322" width="6.7109375" style="38" customWidth="1"/>
    <col min="4323" max="4333" width="10.140625" style="38" customWidth="1"/>
    <col min="4334" max="4334" width="10.85546875" style="38" bestFit="1" customWidth="1"/>
    <col min="4335" max="4344" width="9.140625" style="38"/>
    <col min="4345" max="4345" width="13" style="38" customWidth="1"/>
    <col min="4346" max="4346" width="14.5703125" style="38" customWidth="1"/>
    <col min="4347" max="4347" width="25.85546875" style="38" customWidth="1"/>
    <col min="4348" max="4348" width="30.28515625" style="38" customWidth="1"/>
    <col min="4349" max="4349" width="18.5703125" style="38" customWidth="1"/>
    <col min="4350" max="4350" width="60.7109375" style="38" customWidth="1"/>
    <col min="4351" max="4351" width="12.5703125" style="38" customWidth="1"/>
    <col min="4352" max="4352" width="16.7109375" style="38" bestFit="1" customWidth="1"/>
    <col min="4353" max="4353" width="22.28515625" style="38" customWidth="1"/>
    <col min="4354" max="4354" width="22.28515625" style="38" bestFit="1" customWidth="1"/>
    <col min="4355" max="4355" width="20.85546875" style="38" customWidth="1"/>
    <col min="4356" max="4356" width="18.42578125" style="38" customWidth="1"/>
    <col min="4357" max="4357" width="20.28515625" style="38" customWidth="1"/>
    <col min="4358" max="4358" width="18.85546875" style="38" customWidth="1"/>
    <col min="4359" max="4362" width="9.140625" style="38" customWidth="1"/>
    <col min="4363" max="4563" width="10.140625" style="38" customWidth="1"/>
    <col min="4564" max="4564" width="16.5703125" style="38" customWidth="1"/>
    <col min="4565" max="4566" width="9.85546875" style="38" customWidth="1"/>
    <col min="4567" max="4567" width="10.85546875" style="38" customWidth="1"/>
    <col min="4568" max="4568" width="12.42578125" style="38" customWidth="1"/>
    <col min="4569" max="4569" width="16.28515625" style="38" customWidth="1"/>
    <col min="4570" max="4570" width="11.5703125" style="38" customWidth="1"/>
    <col min="4571" max="4571" width="10.28515625" style="38" customWidth="1"/>
    <col min="4572" max="4572" width="12.140625" style="38" customWidth="1"/>
    <col min="4573" max="4573" width="13.140625" style="38" customWidth="1"/>
    <col min="4574" max="4575" width="10.140625" style="38" customWidth="1"/>
    <col min="4576" max="4576" width="12.85546875" style="38" bestFit="1" customWidth="1"/>
    <col min="4577" max="4577" width="9.85546875" style="38" customWidth="1"/>
    <col min="4578" max="4578" width="6.7109375" style="38" customWidth="1"/>
    <col min="4579" max="4589" width="10.140625" style="38" customWidth="1"/>
    <col min="4590" max="4590" width="10.85546875" style="38" bestFit="1" customWidth="1"/>
    <col min="4591" max="4600" width="9.140625" style="38"/>
    <col min="4601" max="4601" width="13" style="38" customWidth="1"/>
    <col min="4602" max="4602" width="14.5703125" style="38" customWidth="1"/>
    <col min="4603" max="4603" width="25.85546875" style="38" customWidth="1"/>
    <col min="4604" max="4604" width="30.28515625" style="38" customWidth="1"/>
    <col min="4605" max="4605" width="18.5703125" style="38" customWidth="1"/>
    <col min="4606" max="4606" width="60.7109375" style="38" customWidth="1"/>
    <col min="4607" max="4607" width="12.5703125" style="38" customWidth="1"/>
    <col min="4608" max="4608" width="16.7109375" style="38" bestFit="1" customWidth="1"/>
    <col min="4609" max="4609" width="22.28515625" style="38" customWidth="1"/>
    <col min="4610" max="4610" width="22.28515625" style="38" bestFit="1" customWidth="1"/>
    <col min="4611" max="4611" width="20.85546875" style="38" customWidth="1"/>
    <col min="4612" max="4612" width="18.42578125" style="38" customWidth="1"/>
    <col min="4613" max="4613" width="20.28515625" style="38" customWidth="1"/>
    <col min="4614" max="4614" width="18.85546875" style="38" customWidth="1"/>
    <col min="4615" max="4618" width="9.140625" style="38" customWidth="1"/>
    <col min="4619" max="4819" width="10.140625" style="38" customWidth="1"/>
    <col min="4820" max="4820" width="16.5703125" style="38" customWidth="1"/>
    <col min="4821" max="4822" width="9.85546875" style="38" customWidth="1"/>
    <col min="4823" max="4823" width="10.85546875" style="38" customWidth="1"/>
    <col min="4824" max="4824" width="12.42578125" style="38" customWidth="1"/>
    <col min="4825" max="4825" width="16.28515625" style="38" customWidth="1"/>
    <col min="4826" max="4826" width="11.5703125" style="38" customWidth="1"/>
    <col min="4827" max="4827" width="10.28515625" style="38" customWidth="1"/>
    <col min="4828" max="4828" width="12.140625" style="38" customWidth="1"/>
    <col min="4829" max="4829" width="13.140625" style="38" customWidth="1"/>
    <col min="4830" max="4831" width="10.140625" style="38" customWidth="1"/>
    <col min="4832" max="4832" width="12.85546875" style="38" bestFit="1" customWidth="1"/>
    <col min="4833" max="4833" width="9.85546875" style="38" customWidth="1"/>
    <col min="4834" max="4834" width="6.7109375" style="38" customWidth="1"/>
    <col min="4835" max="4845" width="10.140625" style="38" customWidth="1"/>
    <col min="4846" max="4846" width="10.85546875" style="38" bestFit="1" customWidth="1"/>
    <col min="4847" max="4856" width="9.140625" style="38"/>
    <col min="4857" max="4857" width="13" style="38" customWidth="1"/>
    <col min="4858" max="4858" width="14.5703125" style="38" customWidth="1"/>
    <col min="4859" max="4859" width="25.85546875" style="38" customWidth="1"/>
    <col min="4860" max="4860" width="30.28515625" style="38" customWidth="1"/>
    <col min="4861" max="4861" width="18.5703125" style="38" customWidth="1"/>
    <col min="4862" max="4862" width="60.7109375" style="38" customWidth="1"/>
    <col min="4863" max="4863" width="12.5703125" style="38" customWidth="1"/>
    <col min="4864" max="4864" width="16.7109375" style="38" bestFit="1" customWidth="1"/>
    <col min="4865" max="4865" width="22.28515625" style="38" customWidth="1"/>
    <col min="4866" max="4866" width="22.28515625" style="38" bestFit="1" customWidth="1"/>
    <col min="4867" max="4867" width="20.85546875" style="38" customWidth="1"/>
    <col min="4868" max="4868" width="18.42578125" style="38" customWidth="1"/>
    <col min="4869" max="4869" width="20.28515625" style="38" customWidth="1"/>
    <col min="4870" max="4870" width="18.85546875" style="38" customWidth="1"/>
    <col min="4871" max="4874" width="9.140625" style="38" customWidth="1"/>
    <col min="4875" max="5075" width="10.140625" style="38" customWidth="1"/>
    <col min="5076" max="5076" width="16.5703125" style="38" customWidth="1"/>
    <col min="5077" max="5078" width="9.85546875" style="38" customWidth="1"/>
    <col min="5079" max="5079" width="10.85546875" style="38" customWidth="1"/>
    <col min="5080" max="5080" width="12.42578125" style="38" customWidth="1"/>
    <col min="5081" max="5081" width="16.28515625" style="38" customWidth="1"/>
    <col min="5082" max="5082" width="11.5703125" style="38" customWidth="1"/>
    <col min="5083" max="5083" width="10.28515625" style="38" customWidth="1"/>
    <col min="5084" max="5084" width="12.140625" style="38" customWidth="1"/>
    <col min="5085" max="5085" width="13.140625" style="38" customWidth="1"/>
    <col min="5086" max="5087" width="10.140625" style="38" customWidth="1"/>
    <col min="5088" max="5088" width="12.85546875" style="38" bestFit="1" customWidth="1"/>
    <col min="5089" max="5089" width="9.85546875" style="38" customWidth="1"/>
    <col min="5090" max="5090" width="6.7109375" style="38" customWidth="1"/>
    <col min="5091" max="5101" width="10.140625" style="38" customWidth="1"/>
    <col min="5102" max="5102" width="10.85546875" style="38" bestFit="1" customWidth="1"/>
    <col min="5103" max="5112" width="9.140625" style="38"/>
    <col min="5113" max="5113" width="13" style="38" customWidth="1"/>
    <col min="5114" max="5114" width="14.5703125" style="38" customWidth="1"/>
    <col min="5115" max="5115" width="25.85546875" style="38" customWidth="1"/>
    <col min="5116" max="5116" width="30.28515625" style="38" customWidth="1"/>
    <col min="5117" max="5117" width="18.5703125" style="38" customWidth="1"/>
    <col min="5118" max="5118" width="60.7109375" style="38" customWidth="1"/>
    <col min="5119" max="5119" width="12.5703125" style="38" customWidth="1"/>
    <col min="5120" max="5120" width="16.7109375" style="38" bestFit="1" customWidth="1"/>
    <col min="5121" max="5121" width="22.28515625" style="38" customWidth="1"/>
    <col min="5122" max="5122" width="22.28515625" style="38" bestFit="1" customWidth="1"/>
    <col min="5123" max="5123" width="20.85546875" style="38" customWidth="1"/>
    <col min="5124" max="5124" width="18.42578125" style="38" customWidth="1"/>
    <col min="5125" max="5125" width="20.28515625" style="38" customWidth="1"/>
    <col min="5126" max="5126" width="18.85546875" style="38" customWidth="1"/>
    <col min="5127" max="5130" width="9.140625" style="38" customWidth="1"/>
    <col min="5131" max="5331" width="10.140625" style="38" customWidth="1"/>
    <col min="5332" max="5332" width="16.5703125" style="38" customWidth="1"/>
    <col min="5333" max="5334" width="9.85546875" style="38" customWidth="1"/>
    <col min="5335" max="5335" width="10.85546875" style="38" customWidth="1"/>
    <col min="5336" max="5336" width="12.42578125" style="38" customWidth="1"/>
    <col min="5337" max="5337" width="16.28515625" style="38" customWidth="1"/>
    <col min="5338" max="5338" width="11.5703125" style="38" customWidth="1"/>
    <col min="5339" max="5339" width="10.28515625" style="38" customWidth="1"/>
    <col min="5340" max="5340" width="12.140625" style="38" customWidth="1"/>
    <col min="5341" max="5341" width="13.140625" style="38" customWidth="1"/>
    <col min="5342" max="5343" width="10.140625" style="38" customWidth="1"/>
    <col min="5344" max="5344" width="12.85546875" style="38" bestFit="1" customWidth="1"/>
    <col min="5345" max="5345" width="9.85546875" style="38" customWidth="1"/>
    <col min="5346" max="5346" width="6.7109375" style="38" customWidth="1"/>
    <col min="5347" max="5357" width="10.140625" style="38" customWidth="1"/>
    <col min="5358" max="5358" width="10.85546875" style="38" bestFit="1" customWidth="1"/>
    <col min="5359" max="5368" width="9.140625" style="38"/>
    <col min="5369" max="5369" width="13" style="38" customWidth="1"/>
    <col min="5370" max="5370" width="14.5703125" style="38" customWidth="1"/>
    <col min="5371" max="5371" width="25.85546875" style="38" customWidth="1"/>
    <col min="5372" max="5372" width="30.28515625" style="38" customWidth="1"/>
    <col min="5373" max="5373" width="18.5703125" style="38" customWidth="1"/>
    <col min="5374" max="5374" width="60.7109375" style="38" customWidth="1"/>
    <col min="5375" max="5375" width="12.5703125" style="38" customWidth="1"/>
    <col min="5376" max="5376" width="16.7109375" style="38" bestFit="1" customWidth="1"/>
    <col min="5377" max="5377" width="22.28515625" style="38" customWidth="1"/>
    <col min="5378" max="5378" width="22.28515625" style="38" bestFit="1" customWidth="1"/>
    <col min="5379" max="5379" width="20.85546875" style="38" customWidth="1"/>
    <col min="5380" max="5380" width="18.42578125" style="38" customWidth="1"/>
    <col min="5381" max="5381" width="20.28515625" style="38" customWidth="1"/>
    <col min="5382" max="5382" width="18.85546875" style="38" customWidth="1"/>
    <col min="5383" max="5386" width="9.140625" style="38" customWidth="1"/>
    <col min="5387" max="5587" width="10.140625" style="38" customWidth="1"/>
    <col min="5588" max="5588" width="16.5703125" style="38" customWidth="1"/>
    <col min="5589" max="5590" width="9.85546875" style="38" customWidth="1"/>
    <col min="5591" max="5591" width="10.85546875" style="38" customWidth="1"/>
    <col min="5592" max="5592" width="12.42578125" style="38" customWidth="1"/>
    <col min="5593" max="5593" width="16.28515625" style="38" customWidth="1"/>
    <col min="5594" max="5594" width="11.5703125" style="38" customWidth="1"/>
    <col min="5595" max="5595" width="10.28515625" style="38" customWidth="1"/>
    <col min="5596" max="5596" width="12.140625" style="38" customWidth="1"/>
    <col min="5597" max="5597" width="13.140625" style="38" customWidth="1"/>
    <col min="5598" max="5599" width="10.140625" style="38" customWidth="1"/>
    <col min="5600" max="5600" width="12.85546875" style="38" bestFit="1" customWidth="1"/>
    <col min="5601" max="5601" width="9.85546875" style="38" customWidth="1"/>
    <col min="5602" max="5602" width="6.7109375" style="38" customWidth="1"/>
    <col min="5603" max="5613" width="10.140625" style="38" customWidth="1"/>
    <col min="5614" max="5614" width="10.85546875" style="38" bestFit="1" customWidth="1"/>
    <col min="5615" max="5624" width="9.140625" style="38"/>
    <col min="5625" max="5625" width="13" style="38" customWidth="1"/>
    <col min="5626" max="5626" width="14.5703125" style="38" customWidth="1"/>
    <col min="5627" max="5627" width="25.85546875" style="38" customWidth="1"/>
    <col min="5628" max="5628" width="30.28515625" style="38" customWidth="1"/>
    <col min="5629" max="5629" width="18.5703125" style="38" customWidth="1"/>
    <col min="5630" max="5630" width="60.7109375" style="38" customWidth="1"/>
    <col min="5631" max="5631" width="12.5703125" style="38" customWidth="1"/>
    <col min="5632" max="5632" width="16.7109375" style="38" bestFit="1" customWidth="1"/>
    <col min="5633" max="5633" width="22.28515625" style="38" customWidth="1"/>
    <col min="5634" max="5634" width="22.28515625" style="38" bestFit="1" customWidth="1"/>
    <col min="5635" max="5635" width="20.85546875" style="38" customWidth="1"/>
    <col min="5636" max="5636" width="18.42578125" style="38" customWidth="1"/>
    <col min="5637" max="5637" width="20.28515625" style="38" customWidth="1"/>
    <col min="5638" max="5638" width="18.85546875" style="38" customWidth="1"/>
    <col min="5639" max="5642" width="9.140625" style="38" customWidth="1"/>
    <col min="5643" max="5843" width="10.140625" style="38" customWidth="1"/>
    <col min="5844" max="5844" width="16.5703125" style="38" customWidth="1"/>
    <col min="5845" max="5846" width="9.85546875" style="38" customWidth="1"/>
    <col min="5847" max="5847" width="10.85546875" style="38" customWidth="1"/>
    <col min="5848" max="5848" width="12.42578125" style="38" customWidth="1"/>
    <col min="5849" max="5849" width="16.28515625" style="38" customWidth="1"/>
    <col min="5850" max="5850" width="11.5703125" style="38" customWidth="1"/>
    <col min="5851" max="5851" width="10.28515625" style="38" customWidth="1"/>
    <col min="5852" max="5852" width="12.140625" style="38" customWidth="1"/>
    <col min="5853" max="5853" width="13.140625" style="38" customWidth="1"/>
    <col min="5854" max="5855" width="10.140625" style="38" customWidth="1"/>
    <col min="5856" max="5856" width="12.85546875" style="38" bestFit="1" customWidth="1"/>
    <col min="5857" max="5857" width="9.85546875" style="38" customWidth="1"/>
    <col min="5858" max="5858" width="6.7109375" style="38" customWidth="1"/>
    <col min="5859" max="5869" width="10.140625" style="38" customWidth="1"/>
    <col min="5870" max="5870" width="10.85546875" style="38" bestFit="1" customWidth="1"/>
    <col min="5871" max="5880" width="9.140625" style="38"/>
    <col min="5881" max="5881" width="13" style="38" customWidth="1"/>
    <col min="5882" max="5882" width="14.5703125" style="38" customWidth="1"/>
    <col min="5883" max="5883" width="25.85546875" style="38" customWidth="1"/>
    <col min="5884" max="5884" width="30.28515625" style="38" customWidth="1"/>
    <col min="5885" max="5885" width="18.5703125" style="38" customWidth="1"/>
    <col min="5886" max="5886" width="60.7109375" style="38" customWidth="1"/>
    <col min="5887" max="5887" width="12.5703125" style="38" customWidth="1"/>
    <col min="5888" max="5888" width="16.7109375" style="38" bestFit="1" customWidth="1"/>
    <col min="5889" max="5889" width="22.28515625" style="38" customWidth="1"/>
    <col min="5890" max="5890" width="22.28515625" style="38" bestFit="1" customWidth="1"/>
    <col min="5891" max="5891" width="20.85546875" style="38" customWidth="1"/>
    <col min="5892" max="5892" width="18.42578125" style="38" customWidth="1"/>
    <col min="5893" max="5893" width="20.28515625" style="38" customWidth="1"/>
    <col min="5894" max="5894" width="18.85546875" style="38" customWidth="1"/>
    <col min="5895" max="5898" width="9.140625" style="38" customWidth="1"/>
    <col min="5899" max="6099" width="10.140625" style="38" customWidth="1"/>
    <col min="6100" max="6100" width="16.5703125" style="38" customWidth="1"/>
    <col min="6101" max="6102" width="9.85546875" style="38" customWidth="1"/>
    <col min="6103" max="6103" width="10.85546875" style="38" customWidth="1"/>
    <col min="6104" max="6104" width="12.42578125" style="38" customWidth="1"/>
    <col min="6105" max="6105" width="16.28515625" style="38" customWidth="1"/>
    <col min="6106" max="6106" width="11.5703125" style="38" customWidth="1"/>
    <col min="6107" max="6107" width="10.28515625" style="38" customWidth="1"/>
    <col min="6108" max="6108" width="12.140625" style="38" customWidth="1"/>
    <col min="6109" max="6109" width="13.140625" style="38" customWidth="1"/>
    <col min="6110" max="6111" width="10.140625" style="38" customWidth="1"/>
    <col min="6112" max="6112" width="12.85546875" style="38" bestFit="1" customWidth="1"/>
    <col min="6113" max="6113" width="9.85546875" style="38" customWidth="1"/>
    <col min="6114" max="6114" width="6.7109375" style="38" customWidth="1"/>
    <col min="6115" max="6125" width="10.140625" style="38" customWidth="1"/>
    <col min="6126" max="6126" width="10.85546875" style="38" bestFit="1" customWidth="1"/>
    <col min="6127" max="6136" width="9.140625" style="38"/>
    <col min="6137" max="6137" width="13" style="38" customWidth="1"/>
    <col min="6138" max="6138" width="14.5703125" style="38" customWidth="1"/>
    <col min="6139" max="6139" width="25.85546875" style="38" customWidth="1"/>
    <col min="6140" max="6140" width="30.28515625" style="38" customWidth="1"/>
    <col min="6141" max="6141" width="18.5703125" style="38" customWidth="1"/>
    <col min="6142" max="6142" width="60.7109375" style="38" customWidth="1"/>
    <col min="6143" max="6143" width="12.5703125" style="38" customWidth="1"/>
    <col min="6144" max="6144" width="16.7109375" style="38" bestFit="1" customWidth="1"/>
    <col min="6145" max="6145" width="22.28515625" style="38" customWidth="1"/>
    <col min="6146" max="6146" width="22.28515625" style="38" bestFit="1" customWidth="1"/>
    <col min="6147" max="6147" width="20.85546875" style="38" customWidth="1"/>
    <col min="6148" max="6148" width="18.42578125" style="38" customWidth="1"/>
    <col min="6149" max="6149" width="20.28515625" style="38" customWidth="1"/>
    <col min="6150" max="6150" width="18.85546875" style="38" customWidth="1"/>
    <col min="6151" max="6154" width="9.140625" style="38" customWidth="1"/>
    <col min="6155" max="6355" width="10.140625" style="38" customWidth="1"/>
    <col min="6356" max="6356" width="16.5703125" style="38" customWidth="1"/>
    <col min="6357" max="6358" width="9.85546875" style="38" customWidth="1"/>
    <col min="6359" max="6359" width="10.85546875" style="38" customWidth="1"/>
    <col min="6360" max="6360" width="12.42578125" style="38" customWidth="1"/>
    <col min="6361" max="6361" width="16.28515625" style="38" customWidth="1"/>
    <col min="6362" max="6362" width="11.5703125" style="38" customWidth="1"/>
    <col min="6363" max="6363" width="10.28515625" style="38" customWidth="1"/>
    <col min="6364" max="6364" width="12.140625" style="38" customWidth="1"/>
    <col min="6365" max="6365" width="13.140625" style="38" customWidth="1"/>
    <col min="6366" max="6367" width="10.140625" style="38" customWidth="1"/>
    <col min="6368" max="6368" width="12.85546875" style="38" bestFit="1" customWidth="1"/>
    <col min="6369" max="6369" width="9.85546875" style="38" customWidth="1"/>
    <col min="6370" max="6370" width="6.7109375" style="38" customWidth="1"/>
    <col min="6371" max="6381" width="10.140625" style="38" customWidth="1"/>
    <col min="6382" max="6382" width="10.85546875" style="38" bestFit="1" customWidth="1"/>
    <col min="6383" max="6392" width="9.140625" style="38"/>
    <col min="6393" max="6393" width="13" style="38" customWidth="1"/>
    <col min="6394" max="6394" width="14.5703125" style="38" customWidth="1"/>
    <col min="6395" max="6395" width="25.85546875" style="38" customWidth="1"/>
    <col min="6396" max="6396" width="30.28515625" style="38" customWidth="1"/>
    <col min="6397" max="6397" width="18.5703125" style="38" customWidth="1"/>
    <col min="6398" max="6398" width="60.7109375" style="38" customWidth="1"/>
    <col min="6399" max="6399" width="12.5703125" style="38" customWidth="1"/>
    <col min="6400" max="6400" width="16.7109375" style="38" bestFit="1" customWidth="1"/>
    <col min="6401" max="6401" width="22.28515625" style="38" customWidth="1"/>
    <col min="6402" max="6402" width="22.28515625" style="38" bestFit="1" customWidth="1"/>
    <col min="6403" max="6403" width="20.85546875" style="38" customWidth="1"/>
    <col min="6404" max="6404" width="18.42578125" style="38" customWidth="1"/>
    <col min="6405" max="6405" width="20.28515625" style="38" customWidth="1"/>
    <col min="6406" max="6406" width="18.85546875" style="38" customWidth="1"/>
    <col min="6407" max="6410" width="9.140625" style="38" customWidth="1"/>
    <col min="6411" max="6611" width="10.140625" style="38" customWidth="1"/>
    <col min="6612" max="6612" width="16.5703125" style="38" customWidth="1"/>
    <col min="6613" max="6614" width="9.85546875" style="38" customWidth="1"/>
    <col min="6615" max="6615" width="10.85546875" style="38" customWidth="1"/>
    <col min="6616" max="6616" width="12.42578125" style="38" customWidth="1"/>
    <col min="6617" max="6617" width="16.28515625" style="38" customWidth="1"/>
    <col min="6618" max="6618" width="11.5703125" style="38" customWidth="1"/>
    <col min="6619" max="6619" width="10.28515625" style="38" customWidth="1"/>
    <col min="6620" max="6620" width="12.140625" style="38" customWidth="1"/>
    <col min="6621" max="6621" width="13.140625" style="38" customWidth="1"/>
    <col min="6622" max="6623" width="10.140625" style="38" customWidth="1"/>
    <col min="6624" max="6624" width="12.85546875" style="38" bestFit="1" customWidth="1"/>
    <col min="6625" max="6625" width="9.85546875" style="38" customWidth="1"/>
    <col min="6626" max="6626" width="6.7109375" style="38" customWidth="1"/>
    <col min="6627" max="6637" width="10.140625" style="38" customWidth="1"/>
    <col min="6638" max="6638" width="10.85546875" style="38" bestFit="1" customWidth="1"/>
    <col min="6639" max="6648" width="9.140625" style="38"/>
    <col min="6649" max="6649" width="13" style="38" customWidth="1"/>
    <col min="6650" max="6650" width="14.5703125" style="38" customWidth="1"/>
    <col min="6651" max="6651" width="25.85546875" style="38" customWidth="1"/>
    <col min="6652" max="6652" width="30.28515625" style="38" customWidth="1"/>
    <col min="6653" max="6653" width="18.5703125" style="38" customWidth="1"/>
    <col min="6654" max="6654" width="60.7109375" style="38" customWidth="1"/>
    <col min="6655" max="6655" width="12.5703125" style="38" customWidth="1"/>
    <col min="6656" max="6656" width="16.7109375" style="38" bestFit="1" customWidth="1"/>
    <col min="6657" max="6657" width="22.28515625" style="38" customWidth="1"/>
    <col min="6658" max="6658" width="22.28515625" style="38" bestFit="1" customWidth="1"/>
    <col min="6659" max="6659" width="20.85546875" style="38" customWidth="1"/>
    <col min="6660" max="6660" width="18.42578125" style="38" customWidth="1"/>
    <col min="6661" max="6661" width="20.28515625" style="38" customWidth="1"/>
    <col min="6662" max="6662" width="18.85546875" style="38" customWidth="1"/>
    <col min="6663" max="6666" width="9.140625" style="38" customWidth="1"/>
    <col min="6667" max="6867" width="10.140625" style="38" customWidth="1"/>
    <col min="6868" max="6868" width="16.5703125" style="38" customWidth="1"/>
    <col min="6869" max="6870" width="9.85546875" style="38" customWidth="1"/>
    <col min="6871" max="6871" width="10.85546875" style="38" customWidth="1"/>
    <col min="6872" max="6872" width="12.42578125" style="38" customWidth="1"/>
    <col min="6873" max="6873" width="16.28515625" style="38" customWidth="1"/>
    <col min="6874" max="6874" width="11.5703125" style="38" customWidth="1"/>
    <col min="6875" max="6875" width="10.28515625" style="38" customWidth="1"/>
    <col min="6876" max="6876" width="12.140625" style="38" customWidth="1"/>
    <col min="6877" max="6877" width="13.140625" style="38" customWidth="1"/>
    <col min="6878" max="6879" width="10.140625" style="38" customWidth="1"/>
    <col min="6880" max="6880" width="12.85546875" style="38" bestFit="1" customWidth="1"/>
    <col min="6881" max="6881" width="9.85546875" style="38" customWidth="1"/>
    <col min="6882" max="6882" width="6.7109375" style="38" customWidth="1"/>
    <col min="6883" max="6893" width="10.140625" style="38" customWidth="1"/>
    <col min="6894" max="6894" width="10.85546875" style="38" bestFit="1" customWidth="1"/>
    <col min="6895" max="6904" width="9.140625" style="38"/>
    <col min="6905" max="6905" width="13" style="38" customWidth="1"/>
    <col min="6906" max="6906" width="14.5703125" style="38" customWidth="1"/>
    <col min="6907" max="6907" width="25.85546875" style="38" customWidth="1"/>
    <col min="6908" max="6908" width="30.28515625" style="38" customWidth="1"/>
    <col min="6909" max="6909" width="18.5703125" style="38" customWidth="1"/>
    <col min="6910" max="6910" width="60.7109375" style="38" customWidth="1"/>
    <col min="6911" max="6911" width="12.5703125" style="38" customWidth="1"/>
    <col min="6912" max="6912" width="16.7109375" style="38" bestFit="1" customWidth="1"/>
    <col min="6913" max="6913" width="22.28515625" style="38" customWidth="1"/>
    <col min="6914" max="6914" width="22.28515625" style="38" bestFit="1" customWidth="1"/>
    <col min="6915" max="6915" width="20.85546875" style="38" customWidth="1"/>
    <col min="6916" max="6916" width="18.42578125" style="38" customWidth="1"/>
    <col min="6917" max="6917" width="20.28515625" style="38" customWidth="1"/>
    <col min="6918" max="6918" width="18.85546875" style="38" customWidth="1"/>
    <col min="6919" max="6922" width="9.140625" style="38" customWidth="1"/>
    <col min="6923" max="7123" width="10.140625" style="38" customWidth="1"/>
    <col min="7124" max="7124" width="16.5703125" style="38" customWidth="1"/>
    <col min="7125" max="7126" width="9.85546875" style="38" customWidth="1"/>
    <col min="7127" max="7127" width="10.85546875" style="38" customWidth="1"/>
    <col min="7128" max="7128" width="12.42578125" style="38" customWidth="1"/>
    <col min="7129" max="7129" width="16.28515625" style="38" customWidth="1"/>
    <col min="7130" max="7130" width="11.5703125" style="38" customWidth="1"/>
    <col min="7131" max="7131" width="10.28515625" style="38" customWidth="1"/>
    <col min="7132" max="7132" width="12.140625" style="38" customWidth="1"/>
    <col min="7133" max="7133" width="13.140625" style="38" customWidth="1"/>
    <col min="7134" max="7135" width="10.140625" style="38" customWidth="1"/>
    <col min="7136" max="7136" width="12.85546875" style="38" bestFit="1" customWidth="1"/>
    <col min="7137" max="7137" width="9.85546875" style="38" customWidth="1"/>
    <col min="7138" max="7138" width="6.7109375" style="38" customWidth="1"/>
    <col min="7139" max="7149" width="10.140625" style="38" customWidth="1"/>
    <col min="7150" max="7150" width="10.85546875" style="38" bestFit="1" customWidth="1"/>
    <col min="7151" max="7160" width="9.140625" style="38"/>
    <col min="7161" max="7161" width="13" style="38" customWidth="1"/>
    <col min="7162" max="7162" width="14.5703125" style="38" customWidth="1"/>
    <col min="7163" max="7163" width="25.85546875" style="38" customWidth="1"/>
    <col min="7164" max="7164" width="30.28515625" style="38" customWidth="1"/>
    <col min="7165" max="7165" width="18.5703125" style="38" customWidth="1"/>
    <col min="7166" max="7166" width="60.7109375" style="38" customWidth="1"/>
    <col min="7167" max="7167" width="12.5703125" style="38" customWidth="1"/>
    <col min="7168" max="7168" width="16.7109375" style="38" bestFit="1" customWidth="1"/>
    <col min="7169" max="7169" width="22.28515625" style="38" customWidth="1"/>
    <col min="7170" max="7170" width="22.28515625" style="38" bestFit="1" customWidth="1"/>
    <col min="7171" max="7171" width="20.85546875" style="38" customWidth="1"/>
    <col min="7172" max="7172" width="18.42578125" style="38" customWidth="1"/>
    <col min="7173" max="7173" width="20.28515625" style="38" customWidth="1"/>
    <col min="7174" max="7174" width="18.85546875" style="38" customWidth="1"/>
    <col min="7175" max="7178" width="9.140625" style="38" customWidth="1"/>
    <col min="7179" max="7379" width="10.140625" style="38" customWidth="1"/>
    <col min="7380" max="7380" width="16.5703125" style="38" customWidth="1"/>
    <col min="7381" max="7382" width="9.85546875" style="38" customWidth="1"/>
    <col min="7383" max="7383" width="10.85546875" style="38" customWidth="1"/>
    <col min="7384" max="7384" width="12.42578125" style="38" customWidth="1"/>
    <col min="7385" max="7385" width="16.28515625" style="38" customWidth="1"/>
    <col min="7386" max="7386" width="11.5703125" style="38" customWidth="1"/>
    <col min="7387" max="7387" width="10.28515625" style="38" customWidth="1"/>
    <col min="7388" max="7388" width="12.140625" style="38" customWidth="1"/>
    <col min="7389" max="7389" width="13.140625" style="38" customWidth="1"/>
    <col min="7390" max="7391" width="10.140625" style="38" customWidth="1"/>
    <col min="7392" max="7392" width="12.85546875" style="38" bestFit="1" customWidth="1"/>
    <col min="7393" max="7393" width="9.85546875" style="38" customWidth="1"/>
    <col min="7394" max="7394" width="6.7109375" style="38" customWidth="1"/>
    <col min="7395" max="7405" width="10.140625" style="38" customWidth="1"/>
    <col min="7406" max="7406" width="10.85546875" style="38" bestFit="1" customWidth="1"/>
    <col min="7407" max="7416" width="9.140625" style="38"/>
    <col min="7417" max="7417" width="13" style="38" customWidth="1"/>
    <col min="7418" max="7418" width="14.5703125" style="38" customWidth="1"/>
    <col min="7419" max="7419" width="25.85546875" style="38" customWidth="1"/>
    <col min="7420" max="7420" width="30.28515625" style="38" customWidth="1"/>
    <col min="7421" max="7421" width="18.5703125" style="38" customWidth="1"/>
    <col min="7422" max="7422" width="60.7109375" style="38" customWidth="1"/>
    <col min="7423" max="7423" width="12.5703125" style="38" customWidth="1"/>
    <col min="7424" max="7424" width="16.7109375" style="38" bestFit="1" customWidth="1"/>
    <col min="7425" max="7425" width="22.28515625" style="38" customWidth="1"/>
    <col min="7426" max="7426" width="22.28515625" style="38" bestFit="1" customWidth="1"/>
    <col min="7427" max="7427" width="20.85546875" style="38" customWidth="1"/>
    <col min="7428" max="7428" width="18.42578125" style="38" customWidth="1"/>
    <col min="7429" max="7429" width="20.28515625" style="38" customWidth="1"/>
    <col min="7430" max="7430" width="18.85546875" style="38" customWidth="1"/>
    <col min="7431" max="7434" width="9.140625" style="38" customWidth="1"/>
    <col min="7435" max="7635" width="10.140625" style="38" customWidth="1"/>
    <col min="7636" max="7636" width="16.5703125" style="38" customWidth="1"/>
    <col min="7637" max="7638" width="9.85546875" style="38" customWidth="1"/>
    <col min="7639" max="7639" width="10.85546875" style="38" customWidth="1"/>
    <col min="7640" max="7640" width="12.42578125" style="38" customWidth="1"/>
    <col min="7641" max="7641" width="16.28515625" style="38" customWidth="1"/>
    <col min="7642" max="7642" width="11.5703125" style="38" customWidth="1"/>
    <col min="7643" max="7643" width="10.28515625" style="38" customWidth="1"/>
    <col min="7644" max="7644" width="12.140625" style="38" customWidth="1"/>
    <col min="7645" max="7645" width="13.140625" style="38" customWidth="1"/>
    <col min="7646" max="7647" width="10.140625" style="38" customWidth="1"/>
    <col min="7648" max="7648" width="12.85546875" style="38" bestFit="1" customWidth="1"/>
    <col min="7649" max="7649" width="9.85546875" style="38" customWidth="1"/>
    <col min="7650" max="7650" width="6.7109375" style="38" customWidth="1"/>
    <col min="7651" max="7661" width="10.140625" style="38" customWidth="1"/>
    <col min="7662" max="7662" width="10.85546875" style="38" bestFit="1" customWidth="1"/>
    <col min="7663" max="7672" width="9.140625" style="38"/>
    <col min="7673" max="7673" width="13" style="38" customWidth="1"/>
    <col min="7674" max="7674" width="14.5703125" style="38" customWidth="1"/>
    <col min="7675" max="7675" width="25.85546875" style="38" customWidth="1"/>
    <col min="7676" max="7676" width="30.28515625" style="38" customWidth="1"/>
    <col min="7677" max="7677" width="18.5703125" style="38" customWidth="1"/>
    <col min="7678" max="7678" width="60.7109375" style="38" customWidth="1"/>
    <col min="7679" max="7679" width="12.5703125" style="38" customWidth="1"/>
    <col min="7680" max="7680" width="16.7109375" style="38" bestFit="1" customWidth="1"/>
    <col min="7681" max="7681" width="22.28515625" style="38" customWidth="1"/>
    <col min="7682" max="7682" width="22.28515625" style="38" bestFit="1" customWidth="1"/>
    <col min="7683" max="7683" width="20.85546875" style="38" customWidth="1"/>
    <col min="7684" max="7684" width="18.42578125" style="38" customWidth="1"/>
    <col min="7685" max="7685" width="20.28515625" style="38" customWidth="1"/>
    <col min="7686" max="7686" width="18.85546875" style="38" customWidth="1"/>
    <col min="7687" max="7690" width="9.140625" style="38" customWidth="1"/>
    <col min="7691" max="7891" width="10.140625" style="38" customWidth="1"/>
    <col min="7892" max="7892" width="16.5703125" style="38" customWidth="1"/>
    <col min="7893" max="7894" width="9.85546875" style="38" customWidth="1"/>
    <col min="7895" max="7895" width="10.85546875" style="38" customWidth="1"/>
    <col min="7896" max="7896" width="12.42578125" style="38" customWidth="1"/>
    <col min="7897" max="7897" width="16.28515625" style="38" customWidth="1"/>
    <col min="7898" max="7898" width="11.5703125" style="38" customWidth="1"/>
    <col min="7899" max="7899" width="10.28515625" style="38" customWidth="1"/>
    <col min="7900" max="7900" width="12.140625" style="38" customWidth="1"/>
    <col min="7901" max="7901" width="13.140625" style="38" customWidth="1"/>
    <col min="7902" max="7903" width="10.140625" style="38" customWidth="1"/>
    <col min="7904" max="7904" width="12.85546875" style="38" bestFit="1" customWidth="1"/>
    <col min="7905" max="7905" width="9.85546875" style="38" customWidth="1"/>
    <col min="7906" max="7906" width="6.7109375" style="38" customWidth="1"/>
    <col min="7907" max="7917" width="10.140625" style="38" customWidth="1"/>
    <col min="7918" max="7918" width="10.85546875" style="38" bestFit="1" customWidth="1"/>
    <col min="7919" max="7928" width="9.140625" style="38"/>
    <col min="7929" max="7929" width="13" style="38" customWidth="1"/>
    <col min="7930" max="7930" width="14.5703125" style="38" customWidth="1"/>
    <col min="7931" max="7931" width="25.85546875" style="38" customWidth="1"/>
    <col min="7932" max="7932" width="30.28515625" style="38" customWidth="1"/>
    <col min="7933" max="7933" width="18.5703125" style="38" customWidth="1"/>
    <col min="7934" max="7934" width="60.7109375" style="38" customWidth="1"/>
    <col min="7935" max="7935" width="12.5703125" style="38" customWidth="1"/>
    <col min="7936" max="7936" width="16.7109375" style="38" bestFit="1" customWidth="1"/>
    <col min="7937" max="7937" width="22.28515625" style="38" customWidth="1"/>
    <col min="7938" max="7938" width="22.28515625" style="38" bestFit="1" customWidth="1"/>
    <col min="7939" max="7939" width="20.85546875" style="38" customWidth="1"/>
    <col min="7940" max="7940" width="18.42578125" style="38" customWidth="1"/>
    <col min="7941" max="7941" width="20.28515625" style="38" customWidth="1"/>
    <col min="7942" max="7942" width="18.85546875" style="38" customWidth="1"/>
    <col min="7943" max="7946" width="9.140625" style="38" customWidth="1"/>
    <col min="7947" max="8147" width="10.140625" style="38" customWidth="1"/>
    <col min="8148" max="8148" width="16.5703125" style="38" customWidth="1"/>
    <col min="8149" max="8150" width="9.85546875" style="38" customWidth="1"/>
    <col min="8151" max="8151" width="10.85546875" style="38" customWidth="1"/>
    <col min="8152" max="8152" width="12.42578125" style="38" customWidth="1"/>
    <col min="8153" max="8153" width="16.28515625" style="38" customWidth="1"/>
    <col min="8154" max="8154" width="11.5703125" style="38" customWidth="1"/>
    <col min="8155" max="8155" width="10.28515625" style="38" customWidth="1"/>
    <col min="8156" max="8156" width="12.140625" style="38" customWidth="1"/>
    <col min="8157" max="8157" width="13.140625" style="38" customWidth="1"/>
    <col min="8158" max="8159" width="10.140625" style="38" customWidth="1"/>
    <col min="8160" max="8160" width="12.85546875" style="38" bestFit="1" customWidth="1"/>
    <col min="8161" max="8161" width="9.85546875" style="38" customWidth="1"/>
    <col min="8162" max="8162" width="6.7109375" style="38" customWidth="1"/>
    <col min="8163" max="8173" width="10.140625" style="38" customWidth="1"/>
    <col min="8174" max="8174" width="10.85546875" style="38" bestFit="1" customWidth="1"/>
    <col min="8175" max="8184" width="9.140625" style="38"/>
    <col min="8185" max="8185" width="13" style="38" customWidth="1"/>
    <col min="8186" max="8186" width="14.5703125" style="38" customWidth="1"/>
    <col min="8187" max="8187" width="25.85546875" style="38" customWidth="1"/>
    <col min="8188" max="8188" width="30.28515625" style="38" customWidth="1"/>
    <col min="8189" max="8189" width="18.5703125" style="38" customWidth="1"/>
    <col min="8190" max="8190" width="60.7109375" style="38" customWidth="1"/>
    <col min="8191" max="8191" width="12.5703125" style="38" customWidth="1"/>
    <col min="8192" max="8192" width="16.7109375" style="38" bestFit="1" customWidth="1"/>
    <col min="8193" max="8193" width="22.28515625" style="38" customWidth="1"/>
    <col min="8194" max="8194" width="22.28515625" style="38" bestFit="1" customWidth="1"/>
    <col min="8195" max="8195" width="20.85546875" style="38" customWidth="1"/>
    <col min="8196" max="8196" width="18.42578125" style="38" customWidth="1"/>
    <col min="8197" max="8197" width="20.28515625" style="38" customWidth="1"/>
    <col min="8198" max="8198" width="18.85546875" style="38" customWidth="1"/>
    <col min="8199" max="8202" width="9.140625" style="38" customWidth="1"/>
    <col min="8203" max="8403" width="10.140625" style="38" customWidth="1"/>
    <col min="8404" max="8404" width="16.5703125" style="38" customWidth="1"/>
    <col min="8405" max="8406" width="9.85546875" style="38" customWidth="1"/>
    <col min="8407" max="8407" width="10.85546875" style="38" customWidth="1"/>
    <col min="8408" max="8408" width="12.42578125" style="38" customWidth="1"/>
    <col min="8409" max="8409" width="16.28515625" style="38" customWidth="1"/>
    <col min="8410" max="8410" width="11.5703125" style="38" customWidth="1"/>
    <col min="8411" max="8411" width="10.28515625" style="38" customWidth="1"/>
    <col min="8412" max="8412" width="12.140625" style="38" customWidth="1"/>
    <col min="8413" max="8413" width="13.140625" style="38" customWidth="1"/>
    <col min="8414" max="8415" width="10.140625" style="38" customWidth="1"/>
    <col min="8416" max="8416" width="12.85546875" style="38" bestFit="1" customWidth="1"/>
    <col min="8417" max="8417" width="9.85546875" style="38" customWidth="1"/>
    <col min="8418" max="8418" width="6.7109375" style="38" customWidth="1"/>
    <col min="8419" max="8429" width="10.140625" style="38" customWidth="1"/>
    <col min="8430" max="8430" width="10.85546875" style="38" bestFit="1" customWidth="1"/>
    <col min="8431" max="8440" width="9.140625" style="38"/>
    <col min="8441" max="8441" width="13" style="38" customWidth="1"/>
    <col min="8442" max="8442" width="14.5703125" style="38" customWidth="1"/>
    <col min="8443" max="8443" width="25.85546875" style="38" customWidth="1"/>
    <col min="8444" max="8444" width="30.28515625" style="38" customWidth="1"/>
    <col min="8445" max="8445" width="18.5703125" style="38" customWidth="1"/>
    <col min="8446" max="8446" width="60.7109375" style="38" customWidth="1"/>
    <col min="8447" max="8447" width="12.5703125" style="38" customWidth="1"/>
    <col min="8448" max="8448" width="16.7109375" style="38" bestFit="1" customWidth="1"/>
    <col min="8449" max="8449" width="22.28515625" style="38" customWidth="1"/>
    <col min="8450" max="8450" width="22.28515625" style="38" bestFit="1" customWidth="1"/>
    <col min="8451" max="8451" width="20.85546875" style="38" customWidth="1"/>
    <col min="8452" max="8452" width="18.42578125" style="38" customWidth="1"/>
    <col min="8453" max="8453" width="20.28515625" style="38" customWidth="1"/>
    <col min="8454" max="8454" width="18.85546875" style="38" customWidth="1"/>
    <col min="8455" max="8458" width="9.140625" style="38" customWidth="1"/>
    <col min="8459" max="8659" width="10.140625" style="38" customWidth="1"/>
    <col min="8660" max="8660" width="16.5703125" style="38" customWidth="1"/>
    <col min="8661" max="8662" width="9.85546875" style="38" customWidth="1"/>
    <col min="8663" max="8663" width="10.85546875" style="38" customWidth="1"/>
    <col min="8664" max="8664" width="12.42578125" style="38" customWidth="1"/>
    <col min="8665" max="8665" width="16.28515625" style="38" customWidth="1"/>
    <col min="8666" max="8666" width="11.5703125" style="38" customWidth="1"/>
    <col min="8667" max="8667" width="10.28515625" style="38" customWidth="1"/>
    <col min="8668" max="8668" width="12.140625" style="38" customWidth="1"/>
    <col min="8669" max="8669" width="13.140625" style="38" customWidth="1"/>
    <col min="8670" max="8671" width="10.140625" style="38" customWidth="1"/>
    <col min="8672" max="8672" width="12.85546875" style="38" bestFit="1" customWidth="1"/>
    <col min="8673" max="8673" width="9.85546875" style="38" customWidth="1"/>
    <col min="8674" max="8674" width="6.7109375" style="38" customWidth="1"/>
    <col min="8675" max="8685" width="10.140625" style="38" customWidth="1"/>
    <col min="8686" max="8686" width="10.85546875" style="38" bestFit="1" customWidth="1"/>
    <col min="8687" max="8696" width="9.140625" style="38"/>
    <col min="8697" max="8697" width="13" style="38" customWidth="1"/>
    <col min="8698" max="8698" width="14.5703125" style="38" customWidth="1"/>
    <col min="8699" max="8699" width="25.85546875" style="38" customWidth="1"/>
    <col min="8700" max="8700" width="30.28515625" style="38" customWidth="1"/>
    <col min="8701" max="8701" width="18.5703125" style="38" customWidth="1"/>
    <col min="8702" max="8702" width="60.7109375" style="38" customWidth="1"/>
    <col min="8703" max="8703" width="12.5703125" style="38" customWidth="1"/>
    <col min="8704" max="8704" width="16.7109375" style="38" bestFit="1" customWidth="1"/>
    <col min="8705" max="8705" width="22.28515625" style="38" customWidth="1"/>
    <col min="8706" max="8706" width="22.28515625" style="38" bestFit="1" customWidth="1"/>
    <col min="8707" max="8707" width="20.85546875" style="38" customWidth="1"/>
    <col min="8708" max="8708" width="18.42578125" style="38" customWidth="1"/>
    <col min="8709" max="8709" width="20.28515625" style="38" customWidth="1"/>
    <col min="8710" max="8710" width="18.85546875" style="38" customWidth="1"/>
    <col min="8711" max="8714" width="9.140625" style="38" customWidth="1"/>
    <col min="8715" max="8915" width="10.140625" style="38" customWidth="1"/>
    <col min="8916" max="8916" width="16.5703125" style="38" customWidth="1"/>
    <col min="8917" max="8918" width="9.85546875" style="38" customWidth="1"/>
    <col min="8919" max="8919" width="10.85546875" style="38" customWidth="1"/>
    <col min="8920" max="8920" width="12.42578125" style="38" customWidth="1"/>
    <col min="8921" max="8921" width="16.28515625" style="38" customWidth="1"/>
    <col min="8922" max="8922" width="11.5703125" style="38" customWidth="1"/>
    <col min="8923" max="8923" width="10.28515625" style="38" customWidth="1"/>
    <col min="8924" max="8924" width="12.140625" style="38" customWidth="1"/>
    <col min="8925" max="8925" width="13.140625" style="38" customWidth="1"/>
    <col min="8926" max="8927" width="10.140625" style="38" customWidth="1"/>
    <col min="8928" max="8928" width="12.85546875" style="38" bestFit="1" customWidth="1"/>
    <col min="8929" max="8929" width="9.85546875" style="38" customWidth="1"/>
    <col min="8930" max="8930" width="6.7109375" style="38" customWidth="1"/>
    <col min="8931" max="8941" width="10.140625" style="38" customWidth="1"/>
    <col min="8942" max="8942" width="10.85546875" style="38" bestFit="1" customWidth="1"/>
    <col min="8943" max="8952" width="9.140625" style="38"/>
    <col min="8953" max="8953" width="13" style="38" customWidth="1"/>
    <col min="8954" max="8954" width="14.5703125" style="38" customWidth="1"/>
    <col min="8955" max="8955" width="25.85546875" style="38" customWidth="1"/>
    <col min="8956" max="8956" width="30.28515625" style="38" customWidth="1"/>
    <col min="8957" max="8957" width="18.5703125" style="38" customWidth="1"/>
    <col min="8958" max="8958" width="60.7109375" style="38" customWidth="1"/>
    <col min="8959" max="8959" width="12.5703125" style="38" customWidth="1"/>
    <col min="8960" max="8960" width="16.7109375" style="38" bestFit="1" customWidth="1"/>
    <col min="8961" max="8961" width="22.28515625" style="38" customWidth="1"/>
    <col min="8962" max="8962" width="22.28515625" style="38" bestFit="1" customWidth="1"/>
    <col min="8963" max="8963" width="20.85546875" style="38" customWidth="1"/>
    <col min="8964" max="8964" width="18.42578125" style="38" customWidth="1"/>
    <col min="8965" max="8965" width="20.28515625" style="38" customWidth="1"/>
    <col min="8966" max="8966" width="18.85546875" style="38" customWidth="1"/>
    <col min="8967" max="8970" width="9.140625" style="38" customWidth="1"/>
    <col min="8971" max="9171" width="10.140625" style="38" customWidth="1"/>
    <col min="9172" max="9172" width="16.5703125" style="38" customWidth="1"/>
    <col min="9173" max="9174" width="9.85546875" style="38" customWidth="1"/>
    <col min="9175" max="9175" width="10.85546875" style="38" customWidth="1"/>
    <col min="9176" max="9176" width="12.42578125" style="38" customWidth="1"/>
    <col min="9177" max="9177" width="16.28515625" style="38" customWidth="1"/>
    <col min="9178" max="9178" width="11.5703125" style="38" customWidth="1"/>
    <col min="9179" max="9179" width="10.28515625" style="38" customWidth="1"/>
    <col min="9180" max="9180" width="12.140625" style="38" customWidth="1"/>
    <col min="9181" max="9181" width="13.140625" style="38" customWidth="1"/>
    <col min="9182" max="9183" width="10.140625" style="38" customWidth="1"/>
    <col min="9184" max="9184" width="12.85546875" style="38" bestFit="1" customWidth="1"/>
    <col min="9185" max="9185" width="9.85546875" style="38" customWidth="1"/>
    <col min="9186" max="9186" width="6.7109375" style="38" customWidth="1"/>
    <col min="9187" max="9197" width="10.140625" style="38" customWidth="1"/>
    <col min="9198" max="9198" width="10.85546875" style="38" bestFit="1" customWidth="1"/>
    <col min="9199" max="9208" width="9.140625" style="38"/>
    <col min="9209" max="9209" width="13" style="38" customWidth="1"/>
    <col min="9210" max="9210" width="14.5703125" style="38" customWidth="1"/>
    <col min="9211" max="9211" width="25.85546875" style="38" customWidth="1"/>
    <col min="9212" max="9212" width="30.28515625" style="38" customWidth="1"/>
    <col min="9213" max="9213" width="18.5703125" style="38" customWidth="1"/>
    <col min="9214" max="9214" width="60.7109375" style="38" customWidth="1"/>
    <col min="9215" max="9215" width="12.5703125" style="38" customWidth="1"/>
    <col min="9216" max="9216" width="16.7109375" style="38" bestFit="1" customWidth="1"/>
    <col min="9217" max="9217" width="22.28515625" style="38" customWidth="1"/>
    <col min="9218" max="9218" width="22.28515625" style="38" bestFit="1" customWidth="1"/>
    <col min="9219" max="9219" width="20.85546875" style="38" customWidth="1"/>
    <col min="9220" max="9220" width="18.42578125" style="38" customWidth="1"/>
    <col min="9221" max="9221" width="20.28515625" style="38" customWidth="1"/>
    <col min="9222" max="9222" width="18.85546875" style="38" customWidth="1"/>
    <col min="9223" max="9226" width="9.140625" style="38" customWidth="1"/>
    <col min="9227" max="9427" width="10.140625" style="38" customWidth="1"/>
    <col min="9428" max="9428" width="16.5703125" style="38" customWidth="1"/>
    <col min="9429" max="9430" width="9.85546875" style="38" customWidth="1"/>
    <col min="9431" max="9431" width="10.85546875" style="38" customWidth="1"/>
    <col min="9432" max="9432" width="12.42578125" style="38" customWidth="1"/>
    <col min="9433" max="9433" width="16.28515625" style="38" customWidth="1"/>
    <col min="9434" max="9434" width="11.5703125" style="38" customWidth="1"/>
    <col min="9435" max="9435" width="10.28515625" style="38" customWidth="1"/>
    <col min="9436" max="9436" width="12.140625" style="38" customWidth="1"/>
    <col min="9437" max="9437" width="13.140625" style="38" customWidth="1"/>
    <col min="9438" max="9439" width="10.140625" style="38" customWidth="1"/>
    <col min="9440" max="9440" width="12.85546875" style="38" bestFit="1" customWidth="1"/>
    <col min="9441" max="9441" width="9.85546875" style="38" customWidth="1"/>
    <col min="9442" max="9442" width="6.7109375" style="38" customWidth="1"/>
    <col min="9443" max="9453" width="10.140625" style="38" customWidth="1"/>
    <col min="9454" max="9454" width="10.85546875" style="38" bestFit="1" customWidth="1"/>
    <col min="9455" max="9464" width="9.140625" style="38"/>
    <col min="9465" max="9465" width="13" style="38" customWidth="1"/>
    <col min="9466" max="9466" width="14.5703125" style="38" customWidth="1"/>
    <col min="9467" max="9467" width="25.85546875" style="38" customWidth="1"/>
    <col min="9468" max="9468" width="30.28515625" style="38" customWidth="1"/>
    <col min="9469" max="9469" width="18.5703125" style="38" customWidth="1"/>
    <col min="9470" max="9470" width="60.7109375" style="38" customWidth="1"/>
    <col min="9471" max="9471" width="12.5703125" style="38" customWidth="1"/>
    <col min="9472" max="9472" width="16.7109375" style="38" bestFit="1" customWidth="1"/>
    <col min="9473" max="9473" width="22.28515625" style="38" customWidth="1"/>
    <col min="9474" max="9474" width="22.28515625" style="38" bestFit="1" customWidth="1"/>
    <col min="9475" max="9475" width="20.85546875" style="38" customWidth="1"/>
    <col min="9476" max="9476" width="18.42578125" style="38" customWidth="1"/>
    <col min="9477" max="9477" width="20.28515625" style="38" customWidth="1"/>
    <col min="9478" max="9478" width="18.85546875" style="38" customWidth="1"/>
    <col min="9479" max="9482" width="9.140625" style="38" customWidth="1"/>
    <col min="9483" max="9683" width="10.140625" style="38" customWidth="1"/>
    <col min="9684" max="9684" width="16.5703125" style="38" customWidth="1"/>
    <col min="9685" max="9686" width="9.85546875" style="38" customWidth="1"/>
    <col min="9687" max="9687" width="10.85546875" style="38" customWidth="1"/>
    <col min="9688" max="9688" width="12.42578125" style="38" customWidth="1"/>
    <col min="9689" max="9689" width="16.28515625" style="38" customWidth="1"/>
    <col min="9690" max="9690" width="11.5703125" style="38" customWidth="1"/>
    <col min="9691" max="9691" width="10.28515625" style="38" customWidth="1"/>
    <col min="9692" max="9692" width="12.140625" style="38" customWidth="1"/>
    <col min="9693" max="9693" width="13.140625" style="38" customWidth="1"/>
    <col min="9694" max="9695" width="10.140625" style="38" customWidth="1"/>
    <col min="9696" max="9696" width="12.85546875" style="38" bestFit="1" customWidth="1"/>
    <col min="9697" max="9697" width="9.85546875" style="38" customWidth="1"/>
    <col min="9698" max="9698" width="6.7109375" style="38" customWidth="1"/>
    <col min="9699" max="9709" width="10.140625" style="38" customWidth="1"/>
    <col min="9710" max="9710" width="10.85546875" style="38" bestFit="1" customWidth="1"/>
    <col min="9711" max="9720" width="9.140625" style="38"/>
    <col min="9721" max="9721" width="13" style="38" customWidth="1"/>
    <col min="9722" max="9722" width="14.5703125" style="38" customWidth="1"/>
    <col min="9723" max="9723" width="25.85546875" style="38" customWidth="1"/>
    <col min="9724" max="9724" width="30.28515625" style="38" customWidth="1"/>
    <col min="9725" max="9725" width="18.5703125" style="38" customWidth="1"/>
    <col min="9726" max="9726" width="60.7109375" style="38" customWidth="1"/>
    <col min="9727" max="9727" width="12.5703125" style="38" customWidth="1"/>
    <col min="9728" max="9728" width="16.7109375" style="38" bestFit="1" customWidth="1"/>
    <col min="9729" max="9729" width="22.28515625" style="38" customWidth="1"/>
    <col min="9730" max="9730" width="22.28515625" style="38" bestFit="1" customWidth="1"/>
    <col min="9731" max="9731" width="20.85546875" style="38" customWidth="1"/>
    <col min="9732" max="9732" width="18.42578125" style="38" customWidth="1"/>
    <col min="9733" max="9733" width="20.28515625" style="38" customWidth="1"/>
    <col min="9734" max="9734" width="18.85546875" style="38" customWidth="1"/>
    <col min="9735" max="9738" width="9.140625" style="38" customWidth="1"/>
    <col min="9739" max="9939" width="10.140625" style="38" customWidth="1"/>
    <col min="9940" max="9940" width="16.5703125" style="38" customWidth="1"/>
    <col min="9941" max="9942" width="9.85546875" style="38" customWidth="1"/>
    <col min="9943" max="9943" width="10.85546875" style="38" customWidth="1"/>
    <col min="9944" max="9944" width="12.42578125" style="38" customWidth="1"/>
    <col min="9945" max="9945" width="16.28515625" style="38" customWidth="1"/>
    <col min="9946" max="9946" width="11.5703125" style="38" customWidth="1"/>
    <col min="9947" max="9947" width="10.28515625" style="38" customWidth="1"/>
    <col min="9948" max="9948" width="12.140625" style="38" customWidth="1"/>
    <col min="9949" max="9949" width="13.140625" style="38" customWidth="1"/>
    <col min="9950" max="9951" width="10.140625" style="38" customWidth="1"/>
    <col min="9952" max="9952" width="12.85546875" style="38" bestFit="1" customWidth="1"/>
    <col min="9953" max="9953" width="9.85546875" style="38" customWidth="1"/>
    <col min="9954" max="9954" width="6.7109375" style="38" customWidth="1"/>
    <col min="9955" max="9965" width="10.140625" style="38" customWidth="1"/>
    <col min="9966" max="9966" width="10.85546875" style="38" bestFit="1" customWidth="1"/>
    <col min="9967" max="9976" width="9.140625" style="38"/>
    <col min="9977" max="9977" width="13" style="38" customWidth="1"/>
    <col min="9978" max="9978" width="14.5703125" style="38" customWidth="1"/>
    <col min="9979" max="9979" width="25.85546875" style="38" customWidth="1"/>
    <col min="9980" max="9980" width="30.28515625" style="38" customWidth="1"/>
    <col min="9981" max="9981" width="18.5703125" style="38" customWidth="1"/>
    <col min="9982" max="9982" width="60.7109375" style="38" customWidth="1"/>
    <col min="9983" max="9983" width="12.5703125" style="38" customWidth="1"/>
    <col min="9984" max="9984" width="16.7109375" style="38" bestFit="1" customWidth="1"/>
    <col min="9985" max="9985" width="22.28515625" style="38" customWidth="1"/>
    <col min="9986" max="9986" width="22.28515625" style="38" bestFit="1" customWidth="1"/>
    <col min="9987" max="9987" width="20.85546875" style="38" customWidth="1"/>
    <col min="9988" max="9988" width="18.42578125" style="38" customWidth="1"/>
    <col min="9989" max="9989" width="20.28515625" style="38" customWidth="1"/>
    <col min="9990" max="9990" width="18.85546875" style="38" customWidth="1"/>
    <col min="9991" max="9994" width="9.140625" style="38" customWidth="1"/>
    <col min="9995" max="10195" width="10.140625" style="38" customWidth="1"/>
    <col min="10196" max="10196" width="16.5703125" style="38" customWidth="1"/>
    <col min="10197" max="10198" width="9.85546875" style="38" customWidth="1"/>
    <col min="10199" max="10199" width="10.85546875" style="38" customWidth="1"/>
    <col min="10200" max="10200" width="12.42578125" style="38" customWidth="1"/>
    <col min="10201" max="10201" width="16.28515625" style="38" customWidth="1"/>
    <col min="10202" max="10202" width="11.5703125" style="38" customWidth="1"/>
    <col min="10203" max="10203" width="10.28515625" style="38" customWidth="1"/>
    <col min="10204" max="10204" width="12.140625" style="38" customWidth="1"/>
    <col min="10205" max="10205" width="13.140625" style="38" customWidth="1"/>
    <col min="10206" max="10207" width="10.140625" style="38" customWidth="1"/>
    <col min="10208" max="10208" width="12.85546875" style="38" bestFit="1" customWidth="1"/>
    <col min="10209" max="10209" width="9.85546875" style="38" customWidth="1"/>
    <col min="10210" max="10210" width="6.7109375" style="38" customWidth="1"/>
    <col min="10211" max="10221" width="10.140625" style="38" customWidth="1"/>
    <col min="10222" max="10222" width="10.85546875" style="38" bestFit="1" customWidth="1"/>
    <col min="10223" max="10232" width="9.140625" style="38"/>
    <col min="10233" max="10233" width="13" style="38" customWidth="1"/>
    <col min="10234" max="10234" width="14.5703125" style="38" customWidth="1"/>
    <col min="10235" max="10235" width="25.85546875" style="38" customWidth="1"/>
    <col min="10236" max="10236" width="30.28515625" style="38" customWidth="1"/>
    <col min="10237" max="10237" width="18.5703125" style="38" customWidth="1"/>
    <col min="10238" max="10238" width="60.7109375" style="38" customWidth="1"/>
    <col min="10239" max="10239" width="12.5703125" style="38" customWidth="1"/>
    <col min="10240" max="10240" width="16.7109375" style="38" bestFit="1" customWidth="1"/>
    <col min="10241" max="10241" width="22.28515625" style="38" customWidth="1"/>
    <col min="10242" max="10242" width="22.28515625" style="38" bestFit="1" customWidth="1"/>
    <col min="10243" max="10243" width="20.85546875" style="38" customWidth="1"/>
    <col min="10244" max="10244" width="18.42578125" style="38" customWidth="1"/>
    <col min="10245" max="10245" width="20.28515625" style="38" customWidth="1"/>
    <col min="10246" max="10246" width="18.85546875" style="38" customWidth="1"/>
    <col min="10247" max="10250" width="9.140625" style="38" customWidth="1"/>
    <col min="10251" max="10451" width="10.140625" style="38" customWidth="1"/>
    <col min="10452" max="10452" width="16.5703125" style="38" customWidth="1"/>
    <col min="10453" max="10454" width="9.85546875" style="38" customWidth="1"/>
    <col min="10455" max="10455" width="10.85546875" style="38" customWidth="1"/>
    <col min="10456" max="10456" width="12.42578125" style="38" customWidth="1"/>
    <col min="10457" max="10457" width="16.28515625" style="38" customWidth="1"/>
    <col min="10458" max="10458" width="11.5703125" style="38" customWidth="1"/>
    <col min="10459" max="10459" width="10.28515625" style="38" customWidth="1"/>
    <col min="10460" max="10460" width="12.140625" style="38" customWidth="1"/>
    <col min="10461" max="10461" width="13.140625" style="38" customWidth="1"/>
    <col min="10462" max="10463" width="10.140625" style="38" customWidth="1"/>
    <col min="10464" max="10464" width="12.85546875" style="38" bestFit="1" customWidth="1"/>
    <col min="10465" max="10465" width="9.85546875" style="38" customWidth="1"/>
    <col min="10466" max="10466" width="6.7109375" style="38" customWidth="1"/>
    <col min="10467" max="10477" width="10.140625" style="38" customWidth="1"/>
    <col min="10478" max="10478" width="10.85546875" style="38" bestFit="1" customWidth="1"/>
    <col min="10479" max="10488" width="9.140625" style="38"/>
    <col min="10489" max="10489" width="13" style="38" customWidth="1"/>
    <col min="10490" max="10490" width="14.5703125" style="38" customWidth="1"/>
    <col min="10491" max="10491" width="25.85546875" style="38" customWidth="1"/>
    <col min="10492" max="10492" width="30.28515625" style="38" customWidth="1"/>
    <col min="10493" max="10493" width="18.5703125" style="38" customWidth="1"/>
    <col min="10494" max="10494" width="60.7109375" style="38" customWidth="1"/>
    <col min="10495" max="10495" width="12.5703125" style="38" customWidth="1"/>
    <col min="10496" max="10496" width="16.7109375" style="38" bestFit="1" customWidth="1"/>
    <col min="10497" max="10497" width="22.28515625" style="38" customWidth="1"/>
    <col min="10498" max="10498" width="22.28515625" style="38" bestFit="1" customWidth="1"/>
    <col min="10499" max="10499" width="20.85546875" style="38" customWidth="1"/>
    <col min="10500" max="10500" width="18.42578125" style="38" customWidth="1"/>
    <col min="10501" max="10501" width="20.28515625" style="38" customWidth="1"/>
    <col min="10502" max="10502" width="18.85546875" style="38" customWidth="1"/>
    <col min="10503" max="10506" width="9.140625" style="38" customWidth="1"/>
    <col min="10507" max="10707" width="10.140625" style="38" customWidth="1"/>
    <col min="10708" max="10708" width="16.5703125" style="38" customWidth="1"/>
    <col min="10709" max="10710" width="9.85546875" style="38" customWidth="1"/>
    <col min="10711" max="10711" width="10.85546875" style="38" customWidth="1"/>
    <col min="10712" max="10712" width="12.42578125" style="38" customWidth="1"/>
    <col min="10713" max="10713" width="16.28515625" style="38" customWidth="1"/>
    <col min="10714" max="10714" width="11.5703125" style="38" customWidth="1"/>
    <col min="10715" max="10715" width="10.28515625" style="38" customWidth="1"/>
    <col min="10716" max="10716" width="12.140625" style="38" customWidth="1"/>
    <col min="10717" max="10717" width="13.140625" style="38" customWidth="1"/>
    <col min="10718" max="10719" width="10.140625" style="38" customWidth="1"/>
    <col min="10720" max="10720" width="12.85546875" style="38" bestFit="1" customWidth="1"/>
    <col min="10721" max="10721" width="9.85546875" style="38" customWidth="1"/>
    <col min="10722" max="10722" width="6.7109375" style="38" customWidth="1"/>
    <col min="10723" max="10733" width="10.140625" style="38" customWidth="1"/>
    <col min="10734" max="10734" width="10.85546875" style="38" bestFit="1" customWidth="1"/>
    <col min="10735" max="10744" width="9.140625" style="38"/>
    <col min="10745" max="10745" width="13" style="38" customWidth="1"/>
    <col min="10746" max="10746" width="14.5703125" style="38" customWidth="1"/>
    <col min="10747" max="10747" width="25.85546875" style="38" customWidth="1"/>
    <col min="10748" max="10748" width="30.28515625" style="38" customWidth="1"/>
    <col min="10749" max="10749" width="18.5703125" style="38" customWidth="1"/>
    <col min="10750" max="10750" width="60.7109375" style="38" customWidth="1"/>
    <col min="10751" max="10751" width="12.5703125" style="38" customWidth="1"/>
    <col min="10752" max="10752" width="16.7109375" style="38" bestFit="1" customWidth="1"/>
    <col min="10753" max="10753" width="22.28515625" style="38" customWidth="1"/>
    <col min="10754" max="10754" width="22.28515625" style="38" bestFit="1" customWidth="1"/>
    <col min="10755" max="10755" width="20.85546875" style="38" customWidth="1"/>
    <col min="10756" max="10756" width="18.42578125" style="38" customWidth="1"/>
    <col min="10757" max="10757" width="20.28515625" style="38" customWidth="1"/>
    <col min="10758" max="10758" width="18.85546875" style="38" customWidth="1"/>
    <col min="10759" max="10762" width="9.140625" style="38" customWidth="1"/>
    <col min="10763" max="10963" width="10.140625" style="38" customWidth="1"/>
    <col min="10964" max="10964" width="16.5703125" style="38" customWidth="1"/>
    <col min="10965" max="10966" width="9.85546875" style="38" customWidth="1"/>
    <col min="10967" max="10967" width="10.85546875" style="38" customWidth="1"/>
    <col min="10968" max="10968" width="12.42578125" style="38" customWidth="1"/>
    <col min="10969" max="10969" width="16.28515625" style="38" customWidth="1"/>
    <col min="10970" max="10970" width="11.5703125" style="38" customWidth="1"/>
    <col min="10971" max="10971" width="10.28515625" style="38" customWidth="1"/>
    <col min="10972" max="10972" width="12.140625" style="38" customWidth="1"/>
    <col min="10973" max="10973" width="13.140625" style="38" customWidth="1"/>
    <col min="10974" max="10975" width="10.140625" style="38" customWidth="1"/>
    <col min="10976" max="10976" width="12.85546875" style="38" bestFit="1" customWidth="1"/>
    <col min="10977" max="10977" width="9.85546875" style="38" customWidth="1"/>
    <col min="10978" max="10978" width="6.7109375" style="38" customWidth="1"/>
    <col min="10979" max="10989" width="10.140625" style="38" customWidth="1"/>
    <col min="10990" max="10990" width="10.85546875" style="38" bestFit="1" customWidth="1"/>
    <col min="10991" max="11000" width="9.140625" style="38"/>
    <col min="11001" max="11001" width="13" style="38" customWidth="1"/>
    <col min="11002" max="11002" width="14.5703125" style="38" customWidth="1"/>
    <col min="11003" max="11003" width="25.85546875" style="38" customWidth="1"/>
    <col min="11004" max="11004" width="30.28515625" style="38" customWidth="1"/>
    <col min="11005" max="11005" width="18.5703125" style="38" customWidth="1"/>
    <col min="11006" max="11006" width="60.7109375" style="38" customWidth="1"/>
    <col min="11007" max="11007" width="12.5703125" style="38" customWidth="1"/>
    <col min="11008" max="11008" width="16.7109375" style="38" bestFit="1" customWidth="1"/>
    <col min="11009" max="11009" width="22.28515625" style="38" customWidth="1"/>
    <col min="11010" max="11010" width="22.28515625" style="38" bestFit="1" customWidth="1"/>
    <col min="11011" max="11011" width="20.85546875" style="38" customWidth="1"/>
    <col min="11012" max="11012" width="18.42578125" style="38" customWidth="1"/>
    <col min="11013" max="11013" width="20.28515625" style="38" customWidth="1"/>
    <col min="11014" max="11014" width="18.85546875" style="38" customWidth="1"/>
    <col min="11015" max="11018" width="9.140625" style="38" customWidth="1"/>
    <col min="11019" max="11219" width="10.140625" style="38" customWidth="1"/>
    <col min="11220" max="11220" width="16.5703125" style="38" customWidth="1"/>
    <col min="11221" max="11222" width="9.85546875" style="38" customWidth="1"/>
    <col min="11223" max="11223" width="10.85546875" style="38" customWidth="1"/>
    <col min="11224" max="11224" width="12.42578125" style="38" customWidth="1"/>
    <col min="11225" max="11225" width="16.28515625" style="38" customWidth="1"/>
    <col min="11226" max="11226" width="11.5703125" style="38" customWidth="1"/>
    <col min="11227" max="11227" width="10.28515625" style="38" customWidth="1"/>
    <col min="11228" max="11228" width="12.140625" style="38" customWidth="1"/>
    <col min="11229" max="11229" width="13.140625" style="38" customWidth="1"/>
    <col min="11230" max="11231" width="10.140625" style="38" customWidth="1"/>
    <col min="11232" max="11232" width="12.85546875" style="38" bestFit="1" customWidth="1"/>
    <col min="11233" max="11233" width="9.85546875" style="38" customWidth="1"/>
    <col min="11234" max="11234" width="6.7109375" style="38" customWidth="1"/>
    <col min="11235" max="11245" width="10.140625" style="38" customWidth="1"/>
    <col min="11246" max="11246" width="10.85546875" style="38" bestFit="1" customWidth="1"/>
    <col min="11247" max="11256" width="9.140625" style="38"/>
    <col min="11257" max="11257" width="13" style="38" customWidth="1"/>
    <col min="11258" max="11258" width="14.5703125" style="38" customWidth="1"/>
    <col min="11259" max="11259" width="25.85546875" style="38" customWidth="1"/>
    <col min="11260" max="11260" width="30.28515625" style="38" customWidth="1"/>
    <col min="11261" max="11261" width="18.5703125" style="38" customWidth="1"/>
    <col min="11262" max="11262" width="60.7109375" style="38" customWidth="1"/>
    <col min="11263" max="11263" width="12.5703125" style="38" customWidth="1"/>
    <col min="11264" max="11264" width="16.7109375" style="38" bestFit="1" customWidth="1"/>
    <col min="11265" max="11265" width="22.28515625" style="38" customWidth="1"/>
    <col min="11266" max="11266" width="22.28515625" style="38" bestFit="1" customWidth="1"/>
    <col min="11267" max="11267" width="20.85546875" style="38" customWidth="1"/>
    <col min="11268" max="11268" width="18.42578125" style="38" customWidth="1"/>
    <col min="11269" max="11269" width="20.28515625" style="38" customWidth="1"/>
    <col min="11270" max="11270" width="18.85546875" style="38" customWidth="1"/>
    <col min="11271" max="11274" width="9.140625" style="38" customWidth="1"/>
    <col min="11275" max="11475" width="10.140625" style="38" customWidth="1"/>
    <col min="11476" max="11476" width="16.5703125" style="38" customWidth="1"/>
    <col min="11477" max="11478" width="9.85546875" style="38" customWidth="1"/>
    <col min="11479" max="11479" width="10.85546875" style="38" customWidth="1"/>
    <col min="11480" max="11480" width="12.42578125" style="38" customWidth="1"/>
    <col min="11481" max="11481" width="16.28515625" style="38" customWidth="1"/>
    <col min="11482" max="11482" width="11.5703125" style="38" customWidth="1"/>
    <col min="11483" max="11483" width="10.28515625" style="38" customWidth="1"/>
    <col min="11484" max="11484" width="12.140625" style="38" customWidth="1"/>
    <col min="11485" max="11485" width="13.140625" style="38" customWidth="1"/>
    <col min="11486" max="11487" width="10.140625" style="38" customWidth="1"/>
    <col min="11488" max="11488" width="12.85546875" style="38" bestFit="1" customWidth="1"/>
    <col min="11489" max="11489" width="9.85546875" style="38" customWidth="1"/>
    <col min="11490" max="11490" width="6.7109375" style="38" customWidth="1"/>
    <col min="11491" max="11501" width="10.140625" style="38" customWidth="1"/>
    <col min="11502" max="11502" width="10.85546875" style="38" bestFit="1" customWidth="1"/>
    <col min="11503" max="11512" width="9.140625" style="38"/>
    <col min="11513" max="11513" width="13" style="38" customWidth="1"/>
    <col min="11514" max="11514" width="14.5703125" style="38" customWidth="1"/>
    <col min="11515" max="11515" width="25.85546875" style="38" customWidth="1"/>
    <col min="11516" max="11516" width="30.28515625" style="38" customWidth="1"/>
    <col min="11517" max="11517" width="18.5703125" style="38" customWidth="1"/>
    <col min="11518" max="11518" width="60.7109375" style="38" customWidth="1"/>
    <col min="11519" max="11519" width="12.5703125" style="38" customWidth="1"/>
    <col min="11520" max="11520" width="16.7109375" style="38" bestFit="1" customWidth="1"/>
    <col min="11521" max="11521" width="22.28515625" style="38" customWidth="1"/>
    <col min="11522" max="11522" width="22.28515625" style="38" bestFit="1" customWidth="1"/>
    <col min="11523" max="11523" width="20.85546875" style="38" customWidth="1"/>
    <col min="11524" max="11524" width="18.42578125" style="38" customWidth="1"/>
    <col min="11525" max="11525" width="20.28515625" style="38" customWidth="1"/>
    <col min="11526" max="11526" width="18.85546875" style="38" customWidth="1"/>
    <col min="11527" max="11530" width="9.140625" style="38" customWidth="1"/>
    <col min="11531" max="11731" width="10.140625" style="38" customWidth="1"/>
    <col min="11732" max="11732" width="16.5703125" style="38" customWidth="1"/>
    <col min="11733" max="11734" width="9.85546875" style="38" customWidth="1"/>
    <col min="11735" max="11735" width="10.85546875" style="38" customWidth="1"/>
    <col min="11736" max="11736" width="12.42578125" style="38" customWidth="1"/>
    <col min="11737" max="11737" width="16.28515625" style="38" customWidth="1"/>
    <col min="11738" max="11738" width="11.5703125" style="38" customWidth="1"/>
    <col min="11739" max="11739" width="10.28515625" style="38" customWidth="1"/>
    <col min="11740" max="11740" width="12.140625" style="38" customWidth="1"/>
    <col min="11741" max="11741" width="13.140625" style="38" customWidth="1"/>
    <col min="11742" max="11743" width="10.140625" style="38" customWidth="1"/>
    <col min="11744" max="11744" width="12.85546875" style="38" bestFit="1" customWidth="1"/>
    <col min="11745" max="11745" width="9.85546875" style="38" customWidth="1"/>
    <col min="11746" max="11746" width="6.7109375" style="38" customWidth="1"/>
    <col min="11747" max="11757" width="10.140625" style="38" customWidth="1"/>
    <col min="11758" max="11758" width="10.85546875" style="38" bestFit="1" customWidth="1"/>
    <col min="11759" max="11768" width="9.140625" style="38"/>
    <col min="11769" max="11769" width="13" style="38" customWidth="1"/>
    <col min="11770" max="11770" width="14.5703125" style="38" customWidth="1"/>
    <col min="11771" max="11771" width="25.85546875" style="38" customWidth="1"/>
    <col min="11772" max="11772" width="30.28515625" style="38" customWidth="1"/>
    <col min="11773" max="11773" width="18.5703125" style="38" customWidth="1"/>
    <col min="11774" max="11774" width="60.7109375" style="38" customWidth="1"/>
    <col min="11775" max="11775" width="12.5703125" style="38" customWidth="1"/>
    <col min="11776" max="11776" width="16.7109375" style="38" bestFit="1" customWidth="1"/>
    <col min="11777" max="11777" width="22.28515625" style="38" customWidth="1"/>
    <col min="11778" max="11778" width="22.28515625" style="38" bestFit="1" customWidth="1"/>
    <col min="11779" max="11779" width="20.85546875" style="38" customWidth="1"/>
    <col min="11780" max="11780" width="18.42578125" style="38" customWidth="1"/>
    <col min="11781" max="11781" width="20.28515625" style="38" customWidth="1"/>
    <col min="11782" max="11782" width="18.85546875" style="38" customWidth="1"/>
    <col min="11783" max="11786" width="9.140625" style="38" customWidth="1"/>
    <col min="11787" max="11987" width="10.140625" style="38" customWidth="1"/>
    <col min="11988" max="11988" width="16.5703125" style="38" customWidth="1"/>
    <col min="11989" max="11990" width="9.85546875" style="38" customWidth="1"/>
    <col min="11991" max="11991" width="10.85546875" style="38" customWidth="1"/>
    <col min="11992" max="11992" width="12.42578125" style="38" customWidth="1"/>
    <col min="11993" max="11993" width="16.28515625" style="38" customWidth="1"/>
    <col min="11994" max="11994" width="11.5703125" style="38" customWidth="1"/>
    <col min="11995" max="11995" width="10.28515625" style="38" customWidth="1"/>
    <col min="11996" max="11996" width="12.140625" style="38" customWidth="1"/>
    <col min="11997" max="11997" width="13.140625" style="38" customWidth="1"/>
    <col min="11998" max="11999" width="10.140625" style="38" customWidth="1"/>
    <col min="12000" max="12000" width="12.85546875" style="38" bestFit="1" customWidth="1"/>
    <col min="12001" max="12001" width="9.85546875" style="38" customWidth="1"/>
    <col min="12002" max="12002" width="6.7109375" style="38" customWidth="1"/>
    <col min="12003" max="12013" width="10.140625" style="38" customWidth="1"/>
    <col min="12014" max="12014" width="10.85546875" style="38" bestFit="1" customWidth="1"/>
    <col min="12015" max="12024" width="9.140625" style="38"/>
    <col min="12025" max="12025" width="13" style="38" customWidth="1"/>
    <col min="12026" max="12026" width="14.5703125" style="38" customWidth="1"/>
    <col min="12027" max="12027" width="25.85546875" style="38" customWidth="1"/>
    <col min="12028" max="12028" width="30.28515625" style="38" customWidth="1"/>
    <col min="12029" max="12029" width="18.5703125" style="38" customWidth="1"/>
    <col min="12030" max="12030" width="60.7109375" style="38" customWidth="1"/>
    <col min="12031" max="12031" width="12.5703125" style="38" customWidth="1"/>
    <col min="12032" max="12032" width="16.7109375" style="38" bestFit="1" customWidth="1"/>
    <col min="12033" max="12033" width="22.28515625" style="38" customWidth="1"/>
    <col min="12034" max="12034" width="22.28515625" style="38" bestFit="1" customWidth="1"/>
    <col min="12035" max="12035" width="20.85546875" style="38" customWidth="1"/>
    <col min="12036" max="12036" width="18.42578125" style="38" customWidth="1"/>
    <col min="12037" max="12037" width="20.28515625" style="38" customWidth="1"/>
    <col min="12038" max="12038" width="18.85546875" style="38" customWidth="1"/>
    <col min="12039" max="12042" width="9.140625" style="38" customWidth="1"/>
    <col min="12043" max="12243" width="10.140625" style="38" customWidth="1"/>
    <col min="12244" max="12244" width="16.5703125" style="38" customWidth="1"/>
    <col min="12245" max="12246" width="9.85546875" style="38" customWidth="1"/>
    <col min="12247" max="12247" width="10.85546875" style="38" customWidth="1"/>
    <col min="12248" max="12248" width="12.42578125" style="38" customWidth="1"/>
    <col min="12249" max="12249" width="16.28515625" style="38" customWidth="1"/>
    <col min="12250" max="12250" width="11.5703125" style="38" customWidth="1"/>
    <col min="12251" max="12251" width="10.28515625" style="38" customWidth="1"/>
    <col min="12252" max="12252" width="12.140625" style="38" customWidth="1"/>
    <col min="12253" max="12253" width="13.140625" style="38" customWidth="1"/>
    <col min="12254" max="12255" width="10.140625" style="38" customWidth="1"/>
    <col min="12256" max="12256" width="12.85546875" style="38" bestFit="1" customWidth="1"/>
    <col min="12257" max="12257" width="9.85546875" style="38" customWidth="1"/>
    <col min="12258" max="12258" width="6.7109375" style="38" customWidth="1"/>
    <col min="12259" max="12269" width="10.140625" style="38" customWidth="1"/>
    <col min="12270" max="12270" width="10.85546875" style="38" bestFit="1" customWidth="1"/>
    <col min="12271" max="12280" width="9.140625" style="38"/>
    <col min="12281" max="12281" width="13" style="38" customWidth="1"/>
    <col min="12282" max="12282" width="14.5703125" style="38" customWidth="1"/>
    <col min="12283" max="12283" width="25.85546875" style="38" customWidth="1"/>
    <col min="12284" max="12284" width="30.28515625" style="38" customWidth="1"/>
    <col min="12285" max="12285" width="18.5703125" style="38" customWidth="1"/>
    <col min="12286" max="12286" width="60.7109375" style="38" customWidth="1"/>
    <col min="12287" max="12287" width="12.5703125" style="38" customWidth="1"/>
    <col min="12288" max="12288" width="16.7109375" style="38" bestFit="1" customWidth="1"/>
    <col min="12289" max="12289" width="22.28515625" style="38" customWidth="1"/>
    <col min="12290" max="12290" width="22.28515625" style="38" bestFit="1" customWidth="1"/>
    <col min="12291" max="12291" width="20.85546875" style="38" customWidth="1"/>
    <col min="12292" max="12292" width="18.42578125" style="38" customWidth="1"/>
    <col min="12293" max="12293" width="20.28515625" style="38" customWidth="1"/>
    <col min="12294" max="12294" width="18.85546875" style="38" customWidth="1"/>
    <col min="12295" max="12298" width="9.140625" style="38" customWidth="1"/>
    <col min="12299" max="12499" width="10.140625" style="38" customWidth="1"/>
    <col min="12500" max="12500" width="16.5703125" style="38" customWidth="1"/>
    <col min="12501" max="12502" width="9.85546875" style="38" customWidth="1"/>
    <col min="12503" max="12503" width="10.85546875" style="38" customWidth="1"/>
    <col min="12504" max="12504" width="12.42578125" style="38" customWidth="1"/>
    <col min="12505" max="12505" width="16.28515625" style="38" customWidth="1"/>
    <col min="12506" max="12506" width="11.5703125" style="38" customWidth="1"/>
    <col min="12507" max="12507" width="10.28515625" style="38" customWidth="1"/>
    <col min="12508" max="12508" width="12.140625" style="38" customWidth="1"/>
    <col min="12509" max="12509" width="13.140625" style="38" customWidth="1"/>
    <col min="12510" max="12511" width="10.140625" style="38" customWidth="1"/>
    <col min="12512" max="12512" width="12.85546875" style="38" bestFit="1" customWidth="1"/>
    <col min="12513" max="12513" width="9.85546875" style="38" customWidth="1"/>
    <col min="12514" max="12514" width="6.7109375" style="38" customWidth="1"/>
    <col min="12515" max="12525" width="10.140625" style="38" customWidth="1"/>
    <col min="12526" max="12526" width="10.85546875" style="38" bestFit="1" customWidth="1"/>
    <col min="12527" max="12536" width="9.140625" style="38"/>
    <col min="12537" max="12537" width="13" style="38" customWidth="1"/>
    <col min="12538" max="12538" width="14.5703125" style="38" customWidth="1"/>
    <col min="12539" max="12539" width="25.85546875" style="38" customWidth="1"/>
    <col min="12540" max="12540" width="30.28515625" style="38" customWidth="1"/>
    <col min="12541" max="12541" width="18.5703125" style="38" customWidth="1"/>
    <col min="12542" max="12542" width="60.7109375" style="38" customWidth="1"/>
    <col min="12543" max="12543" width="12.5703125" style="38" customWidth="1"/>
    <col min="12544" max="12544" width="16.7109375" style="38" bestFit="1" customWidth="1"/>
    <col min="12545" max="12545" width="22.28515625" style="38" customWidth="1"/>
    <col min="12546" max="12546" width="22.28515625" style="38" bestFit="1" customWidth="1"/>
    <col min="12547" max="12547" width="20.85546875" style="38" customWidth="1"/>
    <col min="12548" max="12548" width="18.42578125" style="38" customWidth="1"/>
    <col min="12549" max="12549" width="20.28515625" style="38" customWidth="1"/>
    <col min="12550" max="12550" width="18.85546875" style="38" customWidth="1"/>
    <col min="12551" max="12554" width="9.140625" style="38" customWidth="1"/>
    <col min="12555" max="12755" width="10.140625" style="38" customWidth="1"/>
    <col min="12756" max="12756" width="16.5703125" style="38" customWidth="1"/>
    <col min="12757" max="12758" width="9.85546875" style="38" customWidth="1"/>
    <col min="12759" max="12759" width="10.85546875" style="38" customWidth="1"/>
    <col min="12760" max="12760" width="12.42578125" style="38" customWidth="1"/>
    <col min="12761" max="12761" width="16.28515625" style="38" customWidth="1"/>
    <col min="12762" max="12762" width="11.5703125" style="38" customWidth="1"/>
    <col min="12763" max="12763" width="10.28515625" style="38" customWidth="1"/>
    <col min="12764" max="12764" width="12.140625" style="38" customWidth="1"/>
    <col min="12765" max="12765" width="13.140625" style="38" customWidth="1"/>
    <col min="12766" max="12767" width="10.140625" style="38" customWidth="1"/>
    <col min="12768" max="12768" width="12.85546875" style="38" bestFit="1" customWidth="1"/>
    <col min="12769" max="12769" width="9.85546875" style="38" customWidth="1"/>
    <col min="12770" max="12770" width="6.7109375" style="38" customWidth="1"/>
    <col min="12771" max="12781" width="10.140625" style="38" customWidth="1"/>
    <col min="12782" max="12782" width="10.85546875" style="38" bestFit="1" customWidth="1"/>
    <col min="12783" max="12792" width="9.140625" style="38"/>
    <col min="12793" max="12793" width="13" style="38" customWidth="1"/>
    <col min="12794" max="12794" width="14.5703125" style="38" customWidth="1"/>
    <col min="12795" max="12795" width="25.85546875" style="38" customWidth="1"/>
    <col min="12796" max="12796" width="30.28515625" style="38" customWidth="1"/>
    <col min="12797" max="12797" width="18.5703125" style="38" customWidth="1"/>
    <col min="12798" max="12798" width="60.7109375" style="38" customWidth="1"/>
    <col min="12799" max="12799" width="12.5703125" style="38" customWidth="1"/>
    <col min="12800" max="12800" width="16.7109375" style="38" bestFit="1" customWidth="1"/>
    <col min="12801" max="12801" width="22.28515625" style="38" customWidth="1"/>
    <col min="12802" max="12802" width="22.28515625" style="38" bestFit="1" customWidth="1"/>
    <col min="12803" max="12803" width="20.85546875" style="38" customWidth="1"/>
    <col min="12804" max="12804" width="18.42578125" style="38" customWidth="1"/>
    <col min="12805" max="12805" width="20.28515625" style="38" customWidth="1"/>
    <col min="12806" max="12806" width="18.85546875" style="38" customWidth="1"/>
    <col min="12807" max="12810" width="9.140625" style="38" customWidth="1"/>
    <col min="12811" max="13011" width="10.140625" style="38" customWidth="1"/>
    <col min="13012" max="13012" width="16.5703125" style="38" customWidth="1"/>
    <col min="13013" max="13014" width="9.85546875" style="38" customWidth="1"/>
    <col min="13015" max="13015" width="10.85546875" style="38" customWidth="1"/>
    <col min="13016" max="13016" width="12.42578125" style="38" customWidth="1"/>
    <col min="13017" max="13017" width="16.28515625" style="38" customWidth="1"/>
    <col min="13018" max="13018" width="11.5703125" style="38" customWidth="1"/>
    <col min="13019" max="13019" width="10.28515625" style="38" customWidth="1"/>
    <col min="13020" max="13020" width="12.140625" style="38" customWidth="1"/>
    <col min="13021" max="13021" width="13.140625" style="38" customWidth="1"/>
    <col min="13022" max="13023" width="10.140625" style="38" customWidth="1"/>
    <col min="13024" max="13024" width="12.85546875" style="38" bestFit="1" customWidth="1"/>
    <col min="13025" max="13025" width="9.85546875" style="38" customWidth="1"/>
    <col min="13026" max="13026" width="6.7109375" style="38" customWidth="1"/>
    <col min="13027" max="13037" width="10.140625" style="38" customWidth="1"/>
    <col min="13038" max="13038" width="10.85546875" style="38" bestFit="1" customWidth="1"/>
    <col min="13039" max="13048" width="9.140625" style="38"/>
    <col min="13049" max="13049" width="13" style="38" customWidth="1"/>
    <col min="13050" max="13050" width="14.5703125" style="38" customWidth="1"/>
    <col min="13051" max="13051" width="25.85546875" style="38" customWidth="1"/>
    <col min="13052" max="13052" width="30.28515625" style="38" customWidth="1"/>
    <col min="13053" max="13053" width="18.5703125" style="38" customWidth="1"/>
    <col min="13054" max="13054" width="60.7109375" style="38" customWidth="1"/>
    <col min="13055" max="13055" width="12.5703125" style="38" customWidth="1"/>
    <col min="13056" max="13056" width="16.7109375" style="38" bestFit="1" customWidth="1"/>
    <col min="13057" max="13057" width="22.28515625" style="38" customWidth="1"/>
    <col min="13058" max="13058" width="22.28515625" style="38" bestFit="1" customWidth="1"/>
    <col min="13059" max="13059" width="20.85546875" style="38" customWidth="1"/>
    <col min="13060" max="13060" width="18.42578125" style="38" customWidth="1"/>
    <col min="13061" max="13061" width="20.28515625" style="38" customWidth="1"/>
    <col min="13062" max="13062" width="18.85546875" style="38" customWidth="1"/>
    <col min="13063" max="13066" width="9.140625" style="38" customWidth="1"/>
    <col min="13067" max="13267" width="10.140625" style="38" customWidth="1"/>
    <col min="13268" max="13268" width="16.5703125" style="38" customWidth="1"/>
    <col min="13269" max="13270" width="9.85546875" style="38" customWidth="1"/>
    <col min="13271" max="13271" width="10.85546875" style="38" customWidth="1"/>
    <col min="13272" max="13272" width="12.42578125" style="38" customWidth="1"/>
    <col min="13273" max="13273" width="16.28515625" style="38" customWidth="1"/>
    <col min="13274" max="13274" width="11.5703125" style="38" customWidth="1"/>
    <col min="13275" max="13275" width="10.28515625" style="38" customWidth="1"/>
    <col min="13276" max="13276" width="12.140625" style="38" customWidth="1"/>
    <col min="13277" max="13277" width="13.140625" style="38" customWidth="1"/>
    <col min="13278" max="13279" width="10.140625" style="38" customWidth="1"/>
    <col min="13280" max="13280" width="12.85546875" style="38" bestFit="1" customWidth="1"/>
    <col min="13281" max="13281" width="9.85546875" style="38" customWidth="1"/>
    <col min="13282" max="13282" width="6.7109375" style="38" customWidth="1"/>
    <col min="13283" max="13293" width="10.140625" style="38" customWidth="1"/>
    <col min="13294" max="13294" width="10.85546875" style="38" bestFit="1" customWidth="1"/>
    <col min="13295" max="13304" width="9.140625" style="38"/>
    <col min="13305" max="13305" width="13" style="38" customWidth="1"/>
    <col min="13306" max="13306" width="14.5703125" style="38" customWidth="1"/>
    <col min="13307" max="13307" width="25.85546875" style="38" customWidth="1"/>
    <col min="13308" max="13308" width="30.28515625" style="38" customWidth="1"/>
    <col min="13309" max="13309" width="18.5703125" style="38" customWidth="1"/>
    <col min="13310" max="13310" width="60.7109375" style="38" customWidth="1"/>
    <col min="13311" max="13311" width="12.5703125" style="38" customWidth="1"/>
    <col min="13312" max="13312" width="16.7109375" style="38" bestFit="1" customWidth="1"/>
    <col min="13313" max="13313" width="22.28515625" style="38" customWidth="1"/>
    <col min="13314" max="13314" width="22.28515625" style="38" bestFit="1" customWidth="1"/>
    <col min="13315" max="13315" width="20.85546875" style="38" customWidth="1"/>
    <col min="13316" max="13316" width="18.42578125" style="38" customWidth="1"/>
    <col min="13317" max="13317" width="20.28515625" style="38" customWidth="1"/>
    <col min="13318" max="13318" width="18.85546875" style="38" customWidth="1"/>
    <col min="13319" max="13322" width="9.140625" style="38" customWidth="1"/>
    <col min="13323" max="13523" width="10.140625" style="38" customWidth="1"/>
    <col min="13524" max="13524" width="16.5703125" style="38" customWidth="1"/>
    <col min="13525" max="13526" width="9.85546875" style="38" customWidth="1"/>
    <col min="13527" max="13527" width="10.85546875" style="38" customWidth="1"/>
    <col min="13528" max="13528" width="12.42578125" style="38" customWidth="1"/>
    <col min="13529" max="13529" width="16.28515625" style="38" customWidth="1"/>
    <col min="13530" max="13530" width="11.5703125" style="38" customWidth="1"/>
    <col min="13531" max="13531" width="10.28515625" style="38" customWidth="1"/>
    <col min="13532" max="13532" width="12.140625" style="38" customWidth="1"/>
    <col min="13533" max="13533" width="13.140625" style="38" customWidth="1"/>
    <col min="13534" max="13535" width="10.140625" style="38" customWidth="1"/>
    <col min="13536" max="13536" width="12.85546875" style="38" bestFit="1" customWidth="1"/>
    <col min="13537" max="13537" width="9.85546875" style="38" customWidth="1"/>
    <col min="13538" max="13538" width="6.7109375" style="38" customWidth="1"/>
    <col min="13539" max="13549" width="10.140625" style="38" customWidth="1"/>
    <col min="13550" max="13550" width="10.85546875" style="38" bestFit="1" customWidth="1"/>
    <col min="13551" max="13560" width="9.140625" style="38"/>
    <col min="13561" max="13561" width="13" style="38" customWidth="1"/>
    <col min="13562" max="13562" width="14.5703125" style="38" customWidth="1"/>
    <col min="13563" max="13563" width="25.85546875" style="38" customWidth="1"/>
    <col min="13564" max="13564" width="30.28515625" style="38" customWidth="1"/>
    <col min="13565" max="13565" width="18.5703125" style="38" customWidth="1"/>
    <col min="13566" max="13566" width="60.7109375" style="38" customWidth="1"/>
    <col min="13567" max="13567" width="12.5703125" style="38" customWidth="1"/>
    <col min="13568" max="13568" width="16.7109375" style="38" bestFit="1" customWidth="1"/>
    <col min="13569" max="13569" width="22.28515625" style="38" customWidth="1"/>
    <col min="13570" max="13570" width="22.28515625" style="38" bestFit="1" customWidth="1"/>
    <col min="13571" max="13571" width="20.85546875" style="38" customWidth="1"/>
    <col min="13572" max="13572" width="18.42578125" style="38" customWidth="1"/>
    <col min="13573" max="13573" width="20.28515625" style="38" customWidth="1"/>
    <col min="13574" max="13574" width="18.85546875" style="38" customWidth="1"/>
    <col min="13575" max="13578" width="9.140625" style="38" customWidth="1"/>
    <col min="13579" max="13779" width="10.140625" style="38" customWidth="1"/>
    <col min="13780" max="13780" width="16.5703125" style="38" customWidth="1"/>
    <col min="13781" max="13782" width="9.85546875" style="38" customWidth="1"/>
    <col min="13783" max="13783" width="10.85546875" style="38" customWidth="1"/>
    <col min="13784" max="13784" width="12.42578125" style="38" customWidth="1"/>
    <col min="13785" max="13785" width="16.28515625" style="38" customWidth="1"/>
    <col min="13786" max="13786" width="11.5703125" style="38" customWidth="1"/>
    <col min="13787" max="13787" width="10.28515625" style="38" customWidth="1"/>
    <col min="13788" max="13788" width="12.140625" style="38" customWidth="1"/>
    <col min="13789" max="13789" width="13.140625" style="38" customWidth="1"/>
    <col min="13790" max="13791" width="10.140625" style="38" customWidth="1"/>
    <col min="13792" max="13792" width="12.85546875" style="38" bestFit="1" customWidth="1"/>
    <col min="13793" max="13793" width="9.85546875" style="38" customWidth="1"/>
    <col min="13794" max="13794" width="6.7109375" style="38" customWidth="1"/>
    <col min="13795" max="13805" width="10.140625" style="38" customWidth="1"/>
    <col min="13806" max="13806" width="10.85546875" style="38" bestFit="1" customWidth="1"/>
    <col min="13807" max="13816" width="9.140625" style="38"/>
    <col min="13817" max="13817" width="13" style="38" customWidth="1"/>
    <col min="13818" max="13818" width="14.5703125" style="38" customWidth="1"/>
    <col min="13819" max="13819" width="25.85546875" style="38" customWidth="1"/>
    <col min="13820" max="13820" width="30.28515625" style="38" customWidth="1"/>
    <col min="13821" max="13821" width="18.5703125" style="38" customWidth="1"/>
    <col min="13822" max="13822" width="60.7109375" style="38" customWidth="1"/>
    <col min="13823" max="13823" width="12.5703125" style="38" customWidth="1"/>
    <col min="13824" max="13824" width="16.7109375" style="38" bestFit="1" customWidth="1"/>
    <col min="13825" max="13825" width="22.28515625" style="38" customWidth="1"/>
    <col min="13826" max="13826" width="22.28515625" style="38" bestFit="1" customWidth="1"/>
    <col min="13827" max="13827" width="20.85546875" style="38" customWidth="1"/>
    <col min="13828" max="13828" width="18.42578125" style="38" customWidth="1"/>
    <col min="13829" max="13829" width="20.28515625" style="38" customWidth="1"/>
    <col min="13830" max="13830" width="18.85546875" style="38" customWidth="1"/>
    <col min="13831" max="13834" width="9.140625" style="38" customWidth="1"/>
    <col min="13835" max="14035" width="10.140625" style="38" customWidth="1"/>
    <col min="14036" max="14036" width="16.5703125" style="38" customWidth="1"/>
    <col min="14037" max="14038" width="9.85546875" style="38" customWidth="1"/>
    <col min="14039" max="14039" width="10.85546875" style="38" customWidth="1"/>
    <col min="14040" max="14040" width="12.42578125" style="38" customWidth="1"/>
    <col min="14041" max="14041" width="16.28515625" style="38" customWidth="1"/>
    <col min="14042" max="14042" width="11.5703125" style="38" customWidth="1"/>
    <col min="14043" max="14043" width="10.28515625" style="38" customWidth="1"/>
    <col min="14044" max="14044" width="12.140625" style="38" customWidth="1"/>
    <col min="14045" max="14045" width="13.140625" style="38" customWidth="1"/>
    <col min="14046" max="14047" width="10.140625" style="38" customWidth="1"/>
    <col min="14048" max="14048" width="12.85546875" style="38" bestFit="1" customWidth="1"/>
    <col min="14049" max="14049" width="9.85546875" style="38" customWidth="1"/>
    <col min="14050" max="14050" width="6.7109375" style="38" customWidth="1"/>
    <col min="14051" max="14061" width="10.140625" style="38" customWidth="1"/>
    <col min="14062" max="14062" width="10.85546875" style="38" bestFit="1" customWidth="1"/>
    <col min="14063" max="14072" width="9.140625" style="38"/>
    <col min="14073" max="14073" width="13" style="38" customWidth="1"/>
    <col min="14074" max="14074" width="14.5703125" style="38" customWidth="1"/>
    <col min="14075" max="14075" width="25.85546875" style="38" customWidth="1"/>
    <col min="14076" max="14076" width="30.28515625" style="38" customWidth="1"/>
    <col min="14077" max="14077" width="18.5703125" style="38" customWidth="1"/>
    <col min="14078" max="14078" width="60.7109375" style="38" customWidth="1"/>
    <col min="14079" max="14079" width="12.5703125" style="38" customWidth="1"/>
    <col min="14080" max="14080" width="16.7109375" style="38" bestFit="1" customWidth="1"/>
    <col min="14081" max="14081" width="22.28515625" style="38" customWidth="1"/>
    <col min="14082" max="14082" width="22.28515625" style="38" bestFit="1" customWidth="1"/>
    <col min="14083" max="14083" width="20.85546875" style="38" customWidth="1"/>
    <col min="14084" max="14084" width="18.42578125" style="38" customWidth="1"/>
    <col min="14085" max="14085" width="20.28515625" style="38" customWidth="1"/>
    <col min="14086" max="14086" width="18.85546875" style="38" customWidth="1"/>
    <col min="14087" max="14090" width="9.140625" style="38" customWidth="1"/>
    <col min="14091" max="14291" width="10.140625" style="38" customWidth="1"/>
    <col min="14292" max="14292" width="16.5703125" style="38" customWidth="1"/>
    <col min="14293" max="14294" width="9.85546875" style="38" customWidth="1"/>
    <col min="14295" max="14295" width="10.85546875" style="38" customWidth="1"/>
    <col min="14296" max="14296" width="12.42578125" style="38" customWidth="1"/>
    <col min="14297" max="14297" width="16.28515625" style="38" customWidth="1"/>
    <col min="14298" max="14298" width="11.5703125" style="38" customWidth="1"/>
    <col min="14299" max="14299" width="10.28515625" style="38" customWidth="1"/>
    <col min="14300" max="14300" width="12.140625" style="38" customWidth="1"/>
    <col min="14301" max="14301" width="13.140625" style="38" customWidth="1"/>
    <col min="14302" max="14303" width="10.140625" style="38" customWidth="1"/>
    <col min="14304" max="14304" width="12.85546875" style="38" bestFit="1" customWidth="1"/>
    <col min="14305" max="14305" width="9.85546875" style="38" customWidth="1"/>
    <col min="14306" max="14306" width="6.7109375" style="38" customWidth="1"/>
    <col min="14307" max="14317" width="10.140625" style="38" customWidth="1"/>
    <col min="14318" max="14318" width="10.85546875" style="38" bestFit="1" customWidth="1"/>
    <col min="14319" max="14328" width="9.140625" style="38"/>
    <col min="14329" max="14329" width="13" style="38" customWidth="1"/>
    <col min="14330" max="14330" width="14.5703125" style="38" customWidth="1"/>
    <col min="14331" max="14331" width="25.85546875" style="38" customWidth="1"/>
    <col min="14332" max="14332" width="30.28515625" style="38" customWidth="1"/>
    <col min="14333" max="14333" width="18.5703125" style="38" customWidth="1"/>
    <col min="14334" max="14334" width="60.7109375" style="38" customWidth="1"/>
    <col min="14335" max="14335" width="12.5703125" style="38" customWidth="1"/>
    <col min="14336" max="14336" width="16.7109375" style="38" bestFit="1" customWidth="1"/>
    <col min="14337" max="14337" width="22.28515625" style="38" customWidth="1"/>
    <col min="14338" max="14338" width="22.28515625" style="38" bestFit="1" customWidth="1"/>
    <col min="14339" max="14339" width="20.85546875" style="38" customWidth="1"/>
    <col min="14340" max="14340" width="18.42578125" style="38" customWidth="1"/>
    <col min="14341" max="14341" width="20.28515625" style="38" customWidth="1"/>
    <col min="14342" max="14342" width="18.85546875" style="38" customWidth="1"/>
    <col min="14343" max="14346" width="9.140625" style="38" customWidth="1"/>
    <col min="14347" max="14547" width="10.140625" style="38" customWidth="1"/>
    <col min="14548" max="14548" width="16.5703125" style="38" customWidth="1"/>
    <col min="14549" max="14550" width="9.85546875" style="38" customWidth="1"/>
    <col min="14551" max="14551" width="10.85546875" style="38" customWidth="1"/>
    <col min="14552" max="14552" width="12.42578125" style="38" customWidth="1"/>
    <col min="14553" max="14553" width="16.28515625" style="38" customWidth="1"/>
    <col min="14554" max="14554" width="11.5703125" style="38" customWidth="1"/>
    <col min="14555" max="14555" width="10.28515625" style="38" customWidth="1"/>
    <col min="14556" max="14556" width="12.140625" style="38" customWidth="1"/>
    <col min="14557" max="14557" width="13.140625" style="38" customWidth="1"/>
    <col min="14558" max="14559" width="10.140625" style="38" customWidth="1"/>
    <col min="14560" max="14560" width="12.85546875" style="38" bestFit="1" customWidth="1"/>
    <col min="14561" max="14561" width="9.85546875" style="38" customWidth="1"/>
    <col min="14562" max="14562" width="6.7109375" style="38" customWidth="1"/>
    <col min="14563" max="14573" width="10.140625" style="38" customWidth="1"/>
    <col min="14574" max="14574" width="10.85546875" style="38" bestFit="1" customWidth="1"/>
    <col min="14575" max="14584" width="9.140625" style="38"/>
    <col min="14585" max="14585" width="13" style="38" customWidth="1"/>
    <col min="14586" max="14586" width="14.5703125" style="38" customWidth="1"/>
    <col min="14587" max="14587" width="25.85546875" style="38" customWidth="1"/>
    <col min="14588" max="14588" width="30.28515625" style="38" customWidth="1"/>
    <col min="14589" max="14589" width="18.5703125" style="38" customWidth="1"/>
    <col min="14590" max="14590" width="60.7109375" style="38" customWidth="1"/>
    <col min="14591" max="14591" width="12.5703125" style="38" customWidth="1"/>
    <col min="14592" max="14592" width="16.7109375" style="38" bestFit="1" customWidth="1"/>
    <col min="14593" max="14593" width="22.28515625" style="38" customWidth="1"/>
    <col min="14594" max="14594" width="22.28515625" style="38" bestFit="1" customWidth="1"/>
    <col min="14595" max="14595" width="20.85546875" style="38" customWidth="1"/>
    <col min="14596" max="14596" width="18.42578125" style="38" customWidth="1"/>
    <col min="14597" max="14597" width="20.28515625" style="38" customWidth="1"/>
    <col min="14598" max="14598" width="18.85546875" style="38" customWidth="1"/>
    <col min="14599" max="14602" width="9.140625" style="38" customWidth="1"/>
    <col min="14603" max="14803" width="10.140625" style="38" customWidth="1"/>
    <col min="14804" max="14804" width="16.5703125" style="38" customWidth="1"/>
    <col min="14805" max="14806" width="9.85546875" style="38" customWidth="1"/>
    <col min="14807" max="14807" width="10.85546875" style="38" customWidth="1"/>
    <col min="14808" max="14808" width="12.42578125" style="38" customWidth="1"/>
    <col min="14809" max="14809" width="16.28515625" style="38" customWidth="1"/>
    <col min="14810" max="14810" width="11.5703125" style="38" customWidth="1"/>
    <col min="14811" max="14811" width="10.28515625" style="38" customWidth="1"/>
    <col min="14812" max="14812" width="12.140625" style="38" customWidth="1"/>
    <col min="14813" max="14813" width="13.140625" style="38" customWidth="1"/>
    <col min="14814" max="14815" width="10.140625" style="38" customWidth="1"/>
    <col min="14816" max="14816" width="12.85546875" style="38" bestFit="1" customWidth="1"/>
    <col min="14817" max="14817" width="9.85546875" style="38" customWidth="1"/>
    <col min="14818" max="14818" width="6.7109375" style="38" customWidth="1"/>
    <col min="14819" max="14829" width="10.140625" style="38" customWidth="1"/>
    <col min="14830" max="14830" width="10.85546875" style="38" bestFit="1" customWidth="1"/>
    <col min="14831" max="14840" width="9.140625" style="38"/>
    <col min="14841" max="14841" width="13" style="38" customWidth="1"/>
    <col min="14842" max="14842" width="14.5703125" style="38" customWidth="1"/>
    <col min="14843" max="14843" width="25.85546875" style="38" customWidth="1"/>
    <col min="14844" max="14844" width="30.28515625" style="38" customWidth="1"/>
    <col min="14845" max="14845" width="18.5703125" style="38" customWidth="1"/>
    <col min="14846" max="14846" width="60.7109375" style="38" customWidth="1"/>
    <col min="14847" max="14847" width="12.5703125" style="38" customWidth="1"/>
    <col min="14848" max="14848" width="16.7109375" style="38" bestFit="1" customWidth="1"/>
    <col min="14849" max="14849" width="22.28515625" style="38" customWidth="1"/>
    <col min="14850" max="14850" width="22.28515625" style="38" bestFit="1" customWidth="1"/>
    <col min="14851" max="14851" width="20.85546875" style="38" customWidth="1"/>
    <col min="14852" max="14852" width="18.42578125" style="38" customWidth="1"/>
    <col min="14853" max="14853" width="20.28515625" style="38" customWidth="1"/>
    <col min="14854" max="14854" width="18.85546875" style="38" customWidth="1"/>
    <col min="14855" max="14858" width="9.140625" style="38" customWidth="1"/>
    <col min="14859" max="15059" width="10.140625" style="38" customWidth="1"/>
    <col min="15060" max="15060" width="16.5703125" style="38" customWidth="1"/>
    <col min="15061" max="15062" width="9.85546875" style="38" customWidth="1"/>
    <col min="15063" max="15063" width="10.85546875" style="38" customWidth="1"/>
    <col min="15064" max="15064" width="12.42578125" style="38" customWidth="1"/>
    <col min="15065" max="15065" width="16.28515625" style="38" customWidth="1"/>
    <col min="15066" max="15066" width="11.5703125" style="38" customWidth="1"/>
    <col min="15067" max="15067" width="10.28515625" style="38" customWidth="1"/>
    <col min="15068" max="15068" width="12.140625" style="38" customWidth="1"/>
    <col min="15069" max="15069" width="13.140625" style="38" customWidth="1"/>
    <col min="15070" max="15071" width="10.140625" style="38" customWidth="1"/>
    <col min="15072" max="15072" width="12.85546875" style="38" bestFit="1" customWidth="1"/>
    <col min="15073" max="15073" width="9.85546875" style="38" customWidth="1"/>
    <col min="15074" max="15074" width="6.7109375" style="38" customWidth="1"/>
    <col min="15075" max="15085" width="10.140625" style="38" customWidth="1"/>
    <col min="15086" max="15086" width="10.85546875" style="38" bestFit="1" customWidth="1"/>
    <col min="15087" max="15096" width="9.140625" style="38"/>
    <col min="15097" max="15097" width="13" style="38" customWidth="1"/>
    <col min="15098" max="15098" width="14.5703125" style="38" customWidth="1"/>
    <col min="15099" max="15099" width="25.85546875" style="38" customWidth="1"/>
    <col min="15100" max="15100" width="30.28515625" style="38" customWidth="1"/>
    <col min="15101" max="15101" width="18.5703125" style="38" customWidth="1"/>
    <col min="15102" max="15102" width="60.7109375" style="38" customWidth="1"/>
    <col min="15103" max="15103" width="12.5703125" style="38" customWidth="1"/>
    <col min="15104" max="15104" width="16.7109375" style="38" bestFit="1" customWidth="1"/>
    <col min="15105" max="15105" width="22.28515625" style="38" customWidth="1"/>
    <col min="15106" max="15106" width="22.28515625" style="38" bestFit="1" customWidth="1"/>
    <col min="15107" max="15107" width="20.85546875" style="38" customWidth="1"/>
    <col min="15108" max="15108" width="18.42578125" style="38" customWidth="1"/>
    <col min="15109" max="15109" width="20.28515625" style="38" customWidth="1"/>
    <col min="15110" max="15110" width="18.85546875" style="38" customWidth="1"/>
    <col min="15111" max="15114" width="9.140625" style="38" customWidth="1"/>
    <col min="15115" max="15315" width="10.140625" style="38" customWidth="1"/>
    <col min="15316" max="15316" width="16.5703125" style="38" customWidth="1"/>
    <col min="15317" max="15318" width="9.85546875" style="38" customWidth="1"/>
    <col min="15319" max="15319" width="10.85546875" style="38" customWidth="1"/>
    <col min="15320" max="15320" width="12.42578125" style="38" customWidth="1"/>
    <col min="15321" max="15321" width="16.28515625" style="38" customWidth="1"/>
    <col min="15322" max="15322" width="11.5703125" style="38" customWidth="1"/>
    <col min="15323" max="15323" width="10.28515625" style="38" customWidth="1"/>
    <col min="15324" max="15324" width="12.140625" style="38" customWidth="1"/>
    <col min="15325" max="15325" width="13.140625" style="38" customWidth="1"/>
    <col min="15326" max="15327" width="10.140625" style="38" customWidth="1"/>
    <col min="15328" max="15328" width="12.85546875" style="38" bestFit="1" customWidth="1"/>
    <col min="15329" max="15329" width="9.85546875" style="38" customWidth="1"/>
    <col min="15330" max="15330" width="6.7109375" style="38" customWidth="1"/>
    <col min="15331" max="15341" width="10.140625" style="38" customWidth="1"/>
    <col min="15342" max="15342" width="10.85546875" style="38" bestFit="1" customWidth="1"/>
    <col min="15343" max="15352" width="9.140625" style="38"/>
    <col min="15353" max="15353" width="13" style="38" customWidth="1"/>
    <col min="15354" max="15354" width="14.5703125" style="38" customWidth="1"/>
    <col min="15355" max="15355" width="25.85546875" style="38" customWidth="1"/>
    <col min="15356" max="15356" width="30.28515625" style="38" customWidth="1"/>
    <col min="15357" max="15357" width="18.5703125" style="38" customWidth="1"/>
    <col min="15358" max="15358" width="60.7109375" style="38" customWidth="1"/>
    <col min="15359" max="15359" width="12.5703125" style="38" customWidth="1"/>
    <col min="15360" max="15360" width="16.7109375" style="38" bestFit="1" customWidth="1"/>
    <col min="15361" max="15361" width="22.28515625" style="38" customWidth="1"/>
    <col min="15362" max="15362" width="22.28515625" style="38" bestFit="1" customWidth="1"/>
    <col min="15363" max="15363" width="20.85546875" style="38" customWidth="1"/>
    <col min="15364" max="15364" width="18.42578125" style="38" customWidth="1"/>
    <col min="15365" max="15365" width="20.28515625" style="38" customWidth="1"/>
    <col min="15366" max="15366" width="18.85546875" style="38" customWidth="1"/>
    <col min="15367" max="15370" width="9.140625" style="38" customWidth="1"/>
    <col min="15371" max="15571" width="10.140625" style="38" customWidth="1"/>
    <col min="15572" max="15572" width="16.5703125" style="38" customWidth="1"/>
    <col min="15573" max="15574" width="9.85546875" style="38" customWidth="1"/>
    <col min="15575" max="15575" width="10.85546875" style="38" customWidth="1"/>
    <col min="15576" max="15576" width="12.42578125" style="38" customWidth="1"/>
    <col min="15577" max="15577" width="16.28515625" style="38" customWidth="1"/>
    <col min="15578" max="15578" width="11.5703125" style="38" customWidth="1"/>
    <col min="15579" max="15579" width="10.28515625" style="38" customWidth="1"/>
    <col min="15580" max="15580" width="12.140625" style="38" customWidth="1"/>
    <col min="15581" max="15581" width="13.140625" style="38" customWidth="1"/>
    <col min="15582" max="15583" width="10.140625" style="38" customWidth="1"/>
    <col min="15584" max="15584" width="12.85546875" style="38" bestFit="1" customWidth="1"/>
    <col min="15585" max="15585" width="9.85546875" style="38" customWidth="1"/>
    <col min="15586" max="15586" width="6.7109375" style="38" customWidth="1"/>
    <col min="15587" max="15597" width="10.140625" style="38" customWidth="1"/>
    <col min="15598" max="15598" width="10.85546875" style="38" bestFit="1" customWidth="1"/>
    <col min="15599" max="15608" width="9.140625" style="38"/>
    <col min="15609" max="15609" width="13" style="38" customWidth="1"/>
    <col min="15610" max="15610" width="14.5703125" style="38" customWidth="1"/>
    <col min="15611" max="15611" width="25.85546875" style="38" customWidth="1"/>
    <col min="15612" max="15612" width="30.28515625" style="38" customWidth="1"/>
    <col min="15613" max="15613" width="18.5703125" style="38" customWidth="1"/>
    <col min="15614" max="15614" width="60.7109375" style="38" customWidth="1"/>
    <col min="15615" max="15615" width="12.5703125" style="38" customWidth="1"/>
    <col min="15616" max="15616" width="16.7109375" style="38" bestFit="1" customWidth="1"/>
    <col min="15617" max="15617" width="22.28515625" style="38" customWidth="1"/>
    <col min="15618" max="15618" width="22.28515625" style="38" bestFit="1" customWidth="1"/>
    <col min="15619" max="15619" width="20.85546875" style="38" customWidth="1"/>
    <col min="15620" max="15620" width="18.42578125" style="38" customWidth="1"/>
    <col min="15621" max="15621" width="20.28515625" style="38" customWidth="1"/>
    <col min="15622" max="15622" width="18.85546875" style="38" customWidth="1"/>
    <col min="15623" max="15626" width="9.140625" style="38" customWidth="1"/>
    <col min="15627" max="15827" width="10.140625" style="38" customWidth="1"/>
    <col min="15828" max="15828" width="16.5703125" style="38" customWidth="1"/>
    <col min="15829" max="15830" width="9.85546875" style="38" customWidth="1"/>
    <col min="15831" max="15831" width="10.85546875" style="38" customWidth="1"/>
    <col min="15832" max="15832" width="12.42578125" style="38" customWidth="1"/>
    <col min="15833" max="15833" width="16.28515625" style="38" customWidth="1"/>
    <col min="15834" max="15834" width="11.5703125" style="38" customWidth="1"/>
    <col min="15835" max="15835" width="10.28515625" style="38" customWidth="1"/>
    <col min="15836" max="15836" width="12.140625" style="38" customWidth="1"/>
    <col min="15837" max="15837" width="13.140625" style="38" customWidth="1"/>
    <col min="15838" max="15839" width="10.140625" style="38" customWidth="1"/>
    <col min="15840" max="15840" width="12.85546875" style="38" bestFit="1" customWidth="1"/>
    <col min="15841" max="15841" width="9.85546875" style="38" customWidth="1"/>
    <col min="15842" max="15842" width="6.7109375" style="38" customWidth="1"/>
    <col min="15843" max="15853" width="10.140625" style="38" customWidth="1"/>
    <col min="15854" max="15854" width="10.85546875" style="38" bestFit="1" customWidth="1"/>
    <col min="15855" max="15864" width="9.140625" style="38"/>
    <col min="15865" max="15865" width="13" style="38" customWidth="1"/>
    <col min="15866" max="15866" width="14.5703125" style="38" customWidth="1"/>
    <col min="15867" max="15867" width="25.85546875" style="38" customWidth="1"/>
    <col min="15868" max="15868" width="30.28515625" style="38" customWidth="1"/>
    <col min="15869" max="15869" width="18.5703125" style="38" customWidth="1"/>
    <col min="15870" max="15870" width="60.7109375" style="38" customWidth="1"/>
    <col min="15871" max="15871" width="12.5703125" style="38" customWidth="1"/>
    <col min="15872" max="15872" width="16.7109375" style="38" bestFit="1" customWidth="1"/>
    <col min="15873" max="15873" width="22.28515625" style="38" customWidth="1"/>
    <col min="15874" max="15874" width="22.28515625" style="38" bestFit="1" customWidth="1"/>
    <col min="15875" max="15875" width="20.85546875" style="38" customWidth="1"/>
    <col min="15876" max="15876" width="18.42578125" style="38" customWidth="1"/>
    <col min="15877" max="15877" width="20.28515625" style="38" customWidth="1"/>
    <col min="15878" max="15878" width="18.85546875" style="38" customWidth="1"/>
    <col min="15879" max="15882" width="9.140625" style="38" customWidth="1"/>
    <col min="15883" max="16083" width="10.140625" style="38" customWidth="1"/>
    <col min="16084" max="16084" width="16.5703125" style="38" customWidth="1"/>
    <col min="16085" max="16086" width="9.85546875" style="38" customWidth="1"/>
    <col min="16087" max="16087" width="10.85546875" style="38" customWidth="1"/>
    <col min="16088" max="16088" width="12.42578125" style="38" customWidth="1"/>
    <col min="16089" max="16089" width="16.28515625" style="38" customWidth="1"/>
    <col min="16090" max="16090" width="11.5703125" style="38" customWidth="1"/>
    <col min="16091" max="16091" width="10.28515625" style="38" customWidth="1"/>
    <col min="16092" max="16092" width="12.140625" style="38" customWidth="1"/>
    <col min="16093" max="16093" width="13.140625" style="38" customWidth="1"/>
    <col min="16094" max="16095" width="10.140625" style="38" customWidth="1"/>
    <col min="16096" max="16096" width="12.85546875" style="38" bestFit="1" customWidth="1"/>
    <col min="16097" max="16097" width="9.85546875" style="38" customWidth="1"/>
    <col min="16098" max="16098" width="6.7109375" style="38" customWidth="1"/>
    <col min="16099" max="16109" width="10.140625" style="38" customWidth="1"/>
    <col min="16110" max="16110" width="10.85546875" style="38" bestFit="1" customWidth="1"/>
    <col min="16111" max="16120" width="9.140625" style="38"/>
    <col min="16121" max="16121" width="13" style="38" customWidth="1"/>
    <col min="16122" max="16122" width="14.5703125" style="38" customWidth="1"/>
    <col min="16123" max="16123" width="25.85546875" style="38" customWidth="1"/>
    <col min="16124" max="16124" width="30.28515625" style="38" customWidth="1"/>
    <col min="16125" max="16125" width="18.5703125" style="38" customWidth="1"/>
    <col min="16126" max="16126" width="60.7109375" style="38" customWidth="1"/>
    <col min="16127" max="16127" width="12.5703125" style="38" customWidth="1"/>
    <col min="16128" max="16128" width="16.7109375" style="38" bestFit="1" customWidth="1"/>
    <col min="16129" max="16129" width="22.28515625" style="38" customWidth="1"/>
    <col min="16130" max="16130" width="22.28515625" style="38" bestFit="1" customWidth="1"/>
    <col min="16131" max="16131" width="20.85546875" style="38" customWidth="1"/>
    <col min="16132" max="16132" width="18.42578125" style="38" customWidth="1"/>
    <col min="16133" max="16133" width="20.28515625" style="38" customWidth="1"/>
    <col min="16134" max="16134" width="18.85546875" style="38" customWidth="1"/>
    <col min="16135" max="16138" width="9.140625" style="38" customWidth="1"/>
    <col min="16139" max="16339" width="10.140625" style="38" customWidth="1"/>
    <col min="16340" max="16340" width="16.5703125" style="38" customWidth="1"/>
    <col min="16341" max="16342" width="9.85546875" style="38" customWidth="1"/>
    <col min="16343" max="16343" width="10.85546875" style="38" customWidth="1"/>
    <col min="16344" max="16344" width="12.42578125" style="38" customWidth="1"/>
    <col min="16345" max="16345" width="16.28515625" style="38" customWidth="1"/>
    <col min="16346" max="16346" width="11.5703125" style="38" customWidth="1"/>
    <col min="16347" max="16347" width="10.28515625" style="38" customWidth="1"/>
    <col min="16348" max="16348" width="12.140625" style="38" customWidth="1"/>
    <col min="16349" max="16349" width="13.140625" style="38" customWidth="1"/>
    <col min="16350" max="16351" width="10.140625" style="38" customWidth="1"/>
    <col min="16352" max="16352" width="12.85546875" style="38" bestFit="1" customWidth="1"/>
    <col min="16353" max="16353" width="9.85546875" style="38" customWidth="1"/>
    <col min="16354" max="16354" width="6.7109375" style="38" customWidth="1"/>
    <col min="16355" max="16365" width="10.140625" style="38" customWidth="1"/>
    <col min="16366" max="16366" width="10.85546875" style="38" bestFit="1" customWidth="1"/>
    <col min="16367" max="16384" width="9.140625" style="38"/>
  </cols>
  <sheetData>
    <row r="1" spans="1:8" s="36" customFormat="1" ht="54" customHeight="1" x14ac:dyDescent="0.3">
      <c r="A1" s="111" t="s">
        <v>31</v>
      </c>
      <c r="B1" s="111"/>
      <c r="C1" s="51" t="s">
        <v>32</v>
      </c>
      <c r="D1" s="79" t="s">
        <v>60</v>
      </c>
      <c r="E1" s="35" t="s">
        <v>37</v>
      </c>
      <c r="F1" s="61" t="s">
        <v>39</v>
      </c>
      <c r="G1" s="35" t="s">
        <v>61</v>
      </c>
      <c r="H1" s="35" t="s">
        <v>33</v>
      </c>
    </row>
    <row r="2" spans="1:8" s="36" customFormat="1" ht="24.95" customHeight="1" x14ac:dyDescent="0.3">
      <c r="A2" s="49"/>
      <c r="B2" s="49"/>
      <c r="C2" s="50"/>
      <c r="D2" s="50"/>
      <c r="E2" s="37" t="e">
        <f t="shared" ref="E2:E33" ca="1" si="0">SUMPRODUCT(SUMIFS(INDIRECT("'"&amp;$H$2:$H$42&amp;"'!L35:L100"),INDIRECT("'"&amp;$H$2:$H$42&amp;"'!H35:H100"),A2,INDIRECT("'"&amp;$H$2:$H$42&amp;"'!I35:I100"),B2,INDIRECT("'"&amp;$H$2:$H$42&amp;"'!F35:F100"),C2))</f>
        <v>#REF!</v>
      </c>
      <c r="F2" s="62" t="e">
        <f ca="1">D2*E2</f>
        <v>#REF!</v>
      </c>
      <c r="G2" s="80" t="e">
        <f ca="1">INDIRECT("'"&amp;H2&amp;"'!e35")</f>
        <v>#REF!</v>
      </c>
      <c r="H2" s="2">
        <f>TOTAL!B4</f>
        <v>0</v>
      </c>
    </row>
    <row r="3" spans="1:8" s="36" customFormat="1" ht="24.95" customHeight="1" x14ac:dyDescent="0.3">
      <c r="A3" s="49"/>
      <c r="B3" s="49"/>
      <c r="C3" s="50"/>
      <c r="D3" s="50"/>
      <c r="E3" s="37" t="e">
        <f t="shared" ca="1" si="0"/>
        <v>#REF!</v>
      </c>
      <c r="F3" s="62" t="e">
        <f t="shared" ref="F3:F66" ca="1" si="1">D3*E3</f>
        <v>#REF!</v>
      </c>
      <c r="G3" s="80"/>
      <c r="H3" s="2"/>
    </row>
    <row r="4" spans="1:8" s="36" customFormat="1" ht="24.95" customHeight="1" x14ac:dyDescent="0.3">
      <c r="A4" s="49"/>
      <c r="B4" s="49"/>
      <c r="C4" s="50"/>
      <c r="D4" s="50"/>
      <c r="E4" s="37" t="e">
        <f t="shared" ca="1" si="0"/>
        <v>#REF!</v>
      </c>
      <c r="F4" s="62" t="e">
        <f t="shared" ca="1" si="1"/>
        <v>#REF!</v>
      </c>
      <c r="G4" s="80"/>
      <c r="H4" s="2"/>
    </row>
    <row r="5" spans="1:8" s="36" customFormat="1" ht="24.95" customHeight="1" x14ac:dyDescent="0.3">
      <c r="A5" s="49"/>
      <c r="B5" s="49"/>
      <c r="C5" s="50"/>
      <c r="D5" s="50"/>
      <c r="E5" s="37" t="e">
        <f t="shared" ca="1" si="0"/>
        <v>#REF!</v>
      </c>
      <c r="F5" s="62" t="e">
        <f t="shared" ca="1" si="1"/>
        <v>#REF!</v>
      </c>
      <c r="G5" s="80"/>
      <c r="H5" s="2"/>
    </row>
    <row r="6" spans="1:8" s="36" customFormat="1" ht="24.95" customHeight="1" x14ac:dyDescent="0.3">
      <c r="A6" s="49"/>
      <c r="B6" s="49"/>
      <c r="C6" s="50"/>
      <c r="D6" s="50"/>
      <c r="E6" s="37" t="e">
        <f t="shared" ca="1" si="0"/>
        <v>#REF!</v>
      </c>
      <c r="F6" s="62" t="e">
        <f t="shared" ca="1" si="1"/>
        <v>#REF!</v>
      </c>
      <c r="G6" s="80"/>
      <c r="H6" s="2"/>
    </row>
    <row r="7" spans="1:8" s="36" customFormat="1" ht="24.95" customHeight="1" x14ac:dyDescent="0.3">
      <c r="A7" s="49"/>
      <c r="B7" s="49"/>
      <c r="C7" s="50"/>
      <c r="D7" s="50"/>
      <c r="E7" s="37" t="e">
        <f t="shared" ca="1" si="0"/>
        <v>#REF!</v>
      </c>
      <c r="F7" s="62" t="e">
        <f t="shared" ca="1" si="1"/>
        <v>#REF!</v>
      </c>
      <c r="G7" s="80"/>
      <c r="H7" s="2"/>
    </row>
    <row r="8" spans="1:8" s="36" customFormat="1" ht="24.95" customHeight="1" x14ac:dyDescent="0.3">
      <c r="A8" s="49"/>
      <c r="B8" s="49"/>
      <c r="C8" s="50"/>
      <c r="D8" s="50"/>
      <c r="E8" s="37" t="e">
        <f t="shared" ca="1" si="0"/>
        <v>#REF!</v>
      </c>
      <c r="F8" s="62" t="e">
        <f t="shared" ca="1" si="1"/>
        <v>#REF!</v>
      </c>
      <c r="G8" s="80"/>
      <c r="H8" s="2"/>
    </row>
    <row r="9" spans="1:8" s="36" customFormat="1" ht="24.95" customHeight="1" x14ac:dyDescent="0.3">
      <c r="A9" s="49"/>
      <c r="B9" s="49"/>
      <c r="C9" s="50"/>
      <c r="D9" s="50"/>
      <c r="E9" s="37" t="e">
        <f t="shared" ca="1" si="0"/>
        <v>#REF!</v>
      </c>
      <c r="F9" s="62" t="e">
        <f t="shared" ca="1" si="1"/>
        <v>#REF!</v>
      </c>
      <c r="G9" s="80"/>
      <c r="H9" s="2"/>
    </row>
    <row r="10" spans="1:8" s="36" customFormat="1" ht="24.95" customHeight="1" x14ac:dyDescent="0.3">
      <c r="A10" s="49"/>
      <c r="B10" s="49"/>
      <c r="C10" s="50"/>
      <c r="D10" s="50"/>
      <c r="E10" s="37" t="e">
        <f t="shared" ca="1" si="0"/>
        <v>#REF!</v>
      </c>
      <c r="F10" s="62" t="e">
        <f t="shared" ca="1" si="1"/>
        <v>#REF!</v>
      </c>
      <c r="G10" s="80"/>
      <c r="H10" s="2"/>
    </row>
    <row r="11" spans="1:8" s="36" customFormat="1" ht="24.95" customHeight="1" x14ac:dyDescent="0.3">
      <c r="A11" s="49"/>
      <c r="B11" s="49"/>
      <c r="C11" s="50"/>
      <c r="D11" s="50"/>
      <c r="E11" s="37" t="e">
        <f t="shared" ca="1" si="0"/>
        <v>#REF!</v>
      </c>
      <c r="F11" s="62" t="e">
        <f t="shared" ca="1" si="1"/>
        <v>#REF!</v>
      </c>
      <c r="G11" s="80"/>
      <c r="H11" s="2"/>
    </row>
    <row r="12" spans="1:8" s="36" customFormat="1" ht="24.95" customHeight="1" x14ac:dyDescent="0.3">
      <c r="A12" s="49"/>
      <c r="B12" s="49"/>
      <c r="C12" s="50"/>
      <c r="D12" s="50"/>
      <c r="E12" s="37" t="e">
        <f t="shared" ca="1" si="0"/>
        <v>#REF!</v>
      </c>
      <c r="F12" s="62" t="e">
        <f t="shared" ca="1" si="1"/>
        <v>#REF!</v>
      </c>
      <c r="G12" s="80"/>
      <c r="H12" s="2"/>
    </row>
    <row r="13" spans="1:8" s="36" customFormat="1" ht="24.95" customHeight="1" x14ac:dyDescent="0.3">
      <c r="A13" s="49"/>
      <c r="B13" s="49"/>
      <c r="C13" s="50"/>
      <c r="D13" s="50"/>
      <c r="E13" s="37" t="e">
        <f t="shared" ca="1" si="0"/>
        <v>#REF!</v>
      </c>
      <c r="F13" s="62" t="e">
        <f t="shared" ca="1" si="1"/>
        <v>#REF!</v>
      </c>
      <c r="G13" s="80"/>
      <c r="H13" s="2"/>
    </row>
    <row r="14" spans="1:8" s="36" customFormat="1" ht="24.95" customHeight="1" x14ac:dyDescent="0.3">
      <c r="A14" s="49"/>
      <c r="B14" s="49"/>
      <c r="C14" s="50"/>
      <c r="D14" s="50"/>
      <c r="E14" s="37" t="e">
        <f t="shared" ca="1" si="0"/>
        <v>#REF!</v>
      </c>
      <c r="F14" s="62" t="e">
        <f t="shared" ca="1" si="1"/>
        <v>#REF!</v>
      </c>
      <c r="G14" s="80"/>
      <c r="H14" s="2"/>
    </row>
    <row r="15" spans="1:8" s="36" customFormat="1" ht="24.95" customHeight="1" x14ac:dyDescent="0.3">
      <c r="A15" s="49"/>
      <c r="B15" s="49"/>
      <c r="C15" s="50"/>
      <c r="D15" s="50"/>
      <c r="E15" s="37" t="e">
        <f t="shared" ca="1" si="0"/>
        <v>#REF!</v>
      </c>
      <c r="F15" s="62" t="e">
        <f t="shared" ca="1" si="1"/>
        <v>#REF!</v>
      </c>
      <c r="G15" s="80"/>
      <c r="H15" s="2"/>
    </row>
    <row r="16" spans="1:8" s="36" customFormat="1" ht="24.95" customHeight="1" x14ac:dyDescent="0.3">
      <c r="A16" s="49"/>
      <c r="B16" s="49"/>
      <c r="C16" s="50"/>
      <c r="D16" s="50"/>
      <c r="E16" s="37" t="e">
        <f t="shared" ca="1" si="0"/>
        <v>#REF!</v>
      </c>
      <c r="F16" s="62" t="e">
        <f t="shared" ca="1" si="1"/>
        <v>#REF!</v>
      </c>
      <c r="G16" s="80"/>
      <c r="H16" s="2"/>
    </row>
    <row r="17" spans="1:8" s="36" customFormat="1" ht="24.95" customHeight="1" x14ac:dyDescent="0.3">
      <c r="A17" s="49"/>
      <c r="B17" s="49"/>
      <c r="C17" s="50"/>
      <c r="D17" s="50"/>
      <c r="E17" s="37" t="e">
        <f t="shared" ca="1" si="0"/>
        <v>#REF!</v>
      </c>
      <c r="F17" s="62" t="e">
        <f t="shared" ca="1" si="1"/>
        <v>#REF!</v>
      </c>
      <c r="G17" s="80"/>
      <c r="H17" s="2"/>
    </row>
    <row r="18" spans="1:8" s="36" customFormat="1" ht="24.95" customHeight="1" x14ac:dyDescent="0.3">
      <c r="A18" s="49"/>
      <c r="B18" s="49"/>
      <c r="C18" s="50"/>
      <c r="D18" s="50"/>
      <c r="E18" s="37" t="e">
        <f t="shared" ca="1" si="0"/>
        <v>#REF!</v>
      </c>
      <c r="F18" s="62" t="e">
        <f t="shared" ca="1" si="1"/>
        <v>#REF!</v>
      </c>
      <c r="G18" s="80"/>
      <c r="H18" s="2"/>
    </row>
    <row r="19" spans="1:8" s="36" customFormat="1" ht="24.95" customHeight="1" x14ac:dyDescent="0.3">
      <c r="A19" s="49"/>
      <c r="B19" s="49"/>
      <c r="C19" s="50"/>
      <c r="D19" s="50"/>
      <c r="E19" s="37" t="e">
        <f t="shared" ca="1" si="0"/>
        <v>#REF!</v>
      </c>
      <c r="F19" s="62" t="e">
        <f t="shared" ca="1" si="1"/>
        <v>#REF!</v>
      </c>
      <c r="G19" s="80"/>
      <c r="H19" s="2"/>
    </row>
    <row r="20" spans="1:8" s="36" customFormat="1" ht="24.95" customHeight="1" x14ac:dyDescent="0.3">
      <c r="A20" s="49"/>
      <c r="B20" s="49"/>
      <c r="C20" s="50"/>
      <c r="D20" s="50"/>
      <c r="E20" s="37" t="e">
        <f t="shared" ca="1" si="0"/>
        <v>#REF!</v>
      </c>
      <c r="F20" s="62" t="e">
        <f t="shared" ca="1" si="1"/>
        <v>#REF!</v>
      </c>
      <c r="G20" s="80"/>
      <c r="H20" s="2"/>
    </row>
    <row r="21" spans="1:8" s="36" customFormat="1" ht="24.95" customHeight="1" x14ac:dyDescent="0.3">
      <c r="A21" s="49"/>
      <c r="B21" s="49"/>
      <c r="C21" s="50"/>
      <c r="D21" s="50"/>
      <c r="E21" s="37" t="e">
        <f t="shared" ca="1" si="0"/>
        <v>#REF!</v>
      </c>
      <c r="F21" s="62" t="e">
        <f t="shared" ca="1" si="1"/>
        <v>#REF!</v>
      </c>
      <c r="G21" s="80"/>
      <c r="H21" s="2"/>
    </row>
    <row r="22" spans="1:8" s="36" customFormat="1" ht="24.95" customHeight="1" x14ac:dyDescent="0.3">
      <c r="A22" s="49"/>
      <c r="B22" s="49"/>
      <c r="C22" s="50"/>
      <c r="D22" s="50"/>
      <c r="E22" s="37" t="e">
        <f t="shared" ca="1" si="0"/>
        <v>#REF!</v>
      </c>
      <c r="F22" s="62" t="e">
        <f t="shared" ca="1" si="1"/>
        <v>#REF!</v>
      </c>
      <c r="G22" s="80"/>
      <c r="H22" s="2"/>
    </row>
    <row r="23" spans="1:8" ht="24.95" customHeight="1" x14ac:dyDescent="0.3">
      <c r="A23" s="49"/>
      <c r="B23" s="49"/>
      <c r="C23" s="50"/>
      <c r="D23" s="50"/>
      <c r="E23" s="37" t="e">
        <f t="shared" ca="1" si="0"/>
        <v>#REF!</v>
      </c>
      <c r="F23" s="62" t="e">
        <f t="shared" ca="1" si="1"/>
        <v>#REF!</v>
      </c>
      <c r="G23" s="80"/>
      <c r="H23" s="2"/>
    </row>
    <row r="24" spans="1:8" ht="24.95" customHeight="1" x14ac:dyDescent="0.3">
      <c r="A24" s="49"/>
      <c r="B24" s="49"/>
      <c r="C24" s="50"/>
      <c r="D24" s="50"/>
      <c r="E24" s="37" t="e">
        <f t="shared" ca="1" si="0"/>
        <v>#REF!</v>
      </c>
      <c r="F24" s="62" t="e">
        <f t="shared" ca="1" si="1"/>
        <v>#REF!</v>
      </c>
      <c r="G24" s="80"/>
      <c r="H24" s="2"/>
    </row>
    <row r="25" spans="1:8" ht="24.95" customHeight="1" x14ac:dyDescent="0.3">
      <c r="A25" s="49"/>
      <c r="B25" s="49"/>
      <c r="C25" s="50"/>
      <c r="D25" s="50"/>
      <c r="E25" s="37" t="e">
        <f t="shared" ca="1" si="0"/>
        <v>#REF!</v>
      </c>
      <c r="F25" s="62" t="e">
        <f t="shared" ca="1" si="1"/>
        <v>#REF!</v>
      </c>
      <c r="G25" s="80"/>
      <c r="H25" s="2"/>
    </row>
    <row r="26" spans="1:8" ht="24.95" customHeight="1" x14ac:dyDescent="0.3">
      <c r="A26" s="49"/>
      <c r="B26" s="49"/>
      <c r="C26" s="50"/>
      <c r="D26" s="50"/>
      <c r="E26" s="37" t="e">
        <f t="shared" ca="1" si="0"/>
        <v>#REF!</v>
      </c>
      <c r="F26" s="62" t="e">
        <f t="shared" ca="1" si="1"/>
        <v>#REF!</v>
      </c>
      <c r="G26" s="80"/>
      <c r="H26" s="2"/>
    </row>
    <row r="27" spans="1:8" ht="24.95" customHeight="1" x14ac:dyDescent="0.3">
      <c r="A27" s="49"/>
      <c r="B27" s="49"/>
      <c r="C27" s="50"/>
      <c r="D27" s="50"/>
      <c r="E27" s="37" t="e">
        <f t="shared" ca="1" si="0"/>
        <v>#REF!</v>
      </c>
      <c r="F27" s="62" t="e">
        <f t="shared" ca="1" si="1"/>
        <v>#REF!</v>
      </c>
      <c r="G27" s="80"/>
      <c r="H27" s="2"/>
    </row>
    <row r="28" spans="1:8" ht="24.95" customHeight="1" x14ac:dyDescent="0.3">
      <c r="A28" s="49"/>
      <c r="B28" s="49"/>
      <c r="C28" s="50"/>
      <c r="D28" s="50"/>
      <c r="E28" s="37" t="e">
        <f t="shared" ca="1" si="0"/>
        <v>#REF!</v>
      </c>
      <c r="F28" s="62" t="e">
        <f t="shared" ca="1" si="1"/>
        <v>#REF!</v>
      </c>
      <c r="G28" s="80"/>
      <c r="H28" s="2"/>
    </row>
    <row r="29" spans="1:8" ht="24.95" customHeight="1" x14ac:dyDescent="0.3">
      <c r="A29" s="49"/>
      <c r="B29" s="49"/>
      <c r="C29" s="50"/>
      <c r="D29" s="50"/>
      <c r="E29" s="37" t="e">
        <f t="shared" ca="1" si="0"/>
        <v>#REF!</v>
      </c>
      <c r="F29" s="62" t="e">
        <f t="shared" ca="1" si="1"/>
        <v>#REF!</v>
      </c>
      <c r="G29" s="80"/>
      <c r="H29" s="2"/>
    </row>
    <row r="30" spans="1:8" ht="24.95" customHeight="1" x14ac:dyDescent="0.3">
      <c r="A30" s="49"/>
      <c r="B30" s="49"/>
      <c r="C30" s="50"/>
      <c r="D30" s="50"/>
      <c r="E30" s="37" t="e">
        <f t="shared" ca="1" si="0"/>
        <v>#REF!</v>
      </c>
      <c r="F30" s="62" t="e">
        <f t="shared" ca="1" si="1"/>
        <v>#REF!</v>
      </c>
      <c r="G30" s="80"/>
      <c r="H30" s="2"/>
    </row>
    <row r="31" spans="1:8" ht="24.95" customHeight="1" x14ac:dyDescent="0.3">
      <c r="A31" s="49"/>
      <c r="B31" s="49"/>
      <c r="C31" s="50"/>
      <c r="D31" s="50"/>
      <c r="E31" s="37" t="e">
        <f t="shared" ca="1" si="0"/>
        <v>#REF!</v>
      </c>
      <c r="F31" s="62" t="e">
        <f t="shared" ca="1" si="1"/>
        <v>#REF!</v>
      </c>
      <c r="G31" s="80"/>
      <c r="H31" s="2"/>
    </row>
    <row r="32" spans="1:8" ht="24.95" customHeight="1" x14ac:dyDescent="0.3">
      <c r="A32" s="49"/>
      <c r="B32" s="49"/>
      <c r="C32" s="50"/>
      <c r="D32" s="50"/>
      <c r="E32" s="37" t="e">
        <f t="shared" ca="1" si="0"/>
        <v>#REF!</v>
      </c>
      <c r="F32" s="62" t="e">
        <f t="shared" ca="1" si="1"/>
        <v>#REF!</v>
      </c>
      <c r="G32" s="80"/>
      <c r="H32" s="2"/>
    </row>
    <row r="33" spans="1:8" ht="22.5" customHeight="1" x14ac:dyDescent="0.3">
      <c r="A33" s="49"/>
      <c r="B33" s="49"/>
      <c r="C33" s="50"/>
      <c r="D33" s="50"/>
      <c r="E33" s="37" t="e">
        <f t="shared" ca="1" si="0"/>
        <v>#REF!</v>
      </c>
      <c r="F33" s="62" t="e">
        <f t="shared" ca="1" si="1"/>
        <v>#REF!</v>
      </c>
      <c r="G33" s="80"/>
      <c r="H33" s="2"/>
    </row>
    <row r="34" spans="1:8" ht="24.95" customHeight="1" x14ac:dyDescent="0.3">
      <c r="A34" s="49"/>
      <c r="B34" s="49"/>
      <c r="C34" s="50"/>
      <c r="D34" s="50"/>
      <c r="E34" s="37" t="e">
        <f t="shared" ref="E34:E65" ca="1" si="2">SUMPRODUCT(SUMIFS(INDIRECT("'"&amp;$H$2:$H$42&amp;"'!L35:L100"),INDIRECT("'"&amp;$H$2:$H$42&amp;"'!H35:H100"),A34,INDIRECT("'"&amp;$H$2:$H$42&amp;"'!I35:I100"),B34,INDIRECT("'"&amp;$H$2:$H$42&amp;"'!F35:F100"),C34))</f>
        <v>#REF!</v>
      </c>
      <c r="F34" s="62" t="e">
        <f t="shared" ca="1" si="1"/>
        <v>#REF!</v>
      </c>
      <c r="G34" s="80"/>
      <c r="H34" s="2"/>
    </row>
    <row r="35" spans="1:8" ht="24.95" customHeight="1" x14ac:dyDescent="0.3">
      <c r="A35" s="49"/>
      <c r="B35" s="49"/>
      <c r="C35" s="50"/>
      <c r="D35" s="50"/>
      <c r="E35" s="37" t="e">
        <f t="shared" ca="1" si="2"/>
        <v>#REF!</v>
      </c>
      <c r="F35" s="62" t="e">
        <f t="shared" ca="1" si="1"/>
        <v>#REF!</v>
      </c>
      <c r="G35" s="80"/>
      <c r="H35" s="2"/>
    </row>
    <row r="36" spans="1:8" ht="24.95" customHeight="1" x14ac:dyDescent="0.3">
      <c r="A36" s="49"/>
      <c r="B36" s="49"/>
      <c r="C36" s="50"/>
      <c r="D36" s="50"/>
      <c r="E36" s="37" t="e">
        <f t="shared" ca="1" si="2"/>
        <v>#REF!</v>
      </c>
      <c r="F36" s="62" t="e">
        <f t="shared" ca="1" si="1"/>
        <v>#REF!</v>
      </c>
      <c r="G36" s="80"/>
      <c r="H36" s="2"/>
    </row>
    <row r="37" spans="1:8" ht="24.95" customHeight="1" x14ac:dyDescent="0.3">
      <c r="A37" s="49"/>
      <c r="B37" s="49"/>
      <c r="C37" s="50"/>
      <c r="D37" s="50"/>
      <c r="E37" s="37" t="e">
        <f t="shared" ca="1" si="2"/>
        <v>#REF!</v>
      </c>
      <c r="F37" s="62" t="e">
        <f t="shared" ca="1" si="1"/>
        <v>#REF!</v>
      </c>
      <c r="G37" s="80"/>
      <c r="H37" s="2"/>
    </row>
    <row r="38" spans="1:8" ht="24.95" customHeight="1" x14ac:dyDescent="0.3">
      <c r="A38" s="49"/>
      <c r="B38" s="49"/>
      <c r="C38" s="50"/>
      <c r="D38" s="50"/>
      <c r="E38" s="37" t="e">
        <f t="shared" ca="1" si="2"/>
        <v>#REF!</v>
      </c>
      <c r="F38" s="62" t="e">
        <f t="shared" ca="1" si="1"/>
        <v>#REF!</v>
      </c>
      <c r="G38" s="80"/>
      <c r="H38" s="2"/>
    </row>
    <row r="39" spans="1:8" ht="24.95" customHeight="1" x14ac:dyDescent="0.3">
      <c r="A39" s="49"/>
      <c r="B39" s="49"/>
      <c r="C39" s="50"/>
      <c r="D39" s="50"/>
      <c r="E39" s="37" t="e">
        <f t="shared" ca="1" si="2"/>
        <v>#REF!</v>
      </c>
      <c r="F39" s="62" t="e">
        <f t="shared" ca="1" si="1"/>
        <v>#REF!</v>
      </c>
      <c r="G39" s="80"/>
      <c r="H39" s="2"/>
    </row>
    <row r="40" spans="1:8" ht="24.95" customHeight="1" x14ac:dyDescent="0.3">
      <c r="A40" s="49"/>
      <c r="B40" s="49"/>
      <c r="C40" s="50"/>
      <c r="D40" s="50"/>
      <c r="E40" s="37" t="e">
        <f t="shared" ca="1" si="2"/>
        <v>#REF!</v>
      </c>
      <c r="F40" s="62" t="e">
        <f t="shared" ca="1" si="1"/>
        <v>#REF!</v>
      </c>
      <c r="G40" s="80"/>
      <c r="H40" s="2"/>
    </row>
    <row r="41" spans="1:8" ht="24.95" customHeight="1" x14ac:dyDescent="0.3">
      <c r="A41" s="49"/>
      <c r="B41" s="49"/>
      <c r="C41" s="50"/>
      <c r="D41" s="50"/>
      <c r="E41" s="37" t="e">
        <f t="shared" ca="1" si="2"/>
        <v>#REF!</v>
      </c>
      <c r="F41" s="62" t="e">
        <f t="shared" ca="1" si="1"/>
        <v>#REF!</v>
      </c>
      <c r="G41" s="80"/>
      <c r="H41" s="2"/>
    </row>
    <row r="42" spans="1:8" ht="24.95" customHeight="1" x14ac:dyDescent="0.3">
      <c r="A42" s="49"/>
      <c r="B42" s="49"/>
      <c r="C42" s="50"/>
      <c r="D42" s="50"/>
      <c r="E42" s="37" t="e">
        <f t="shared" ca="1" si="2"/>
        <v>#REF!</v>
      </c>
      <c r="F42" s="62" t="e">
        <f t="shared" ca="1" si="1"/>
        <v>#REF!</v>
      </c>
      <c r="G42" s="80"/>
      <c r="H42" s="2"/>
    </row>
    <row r="43" spans="1:8" ht="24.95" customHeight="1" x14ac:dyDescent="0.3">
      <c r="A43" s="49"/>
      <c r="B43" s="49"/>
      <c r="C43" s="50"/>
      <c r="D43" s="50"/>
      <c r="E43" s="37" t="e">
        <f t="shared" ca="1" si="2"/>
        <v>#REF!</v>
      </c>
      <c r="F43" s="62" t="e">
        <f t="shared" ca="1" si="1"/>
        <v>#REF!</v>
      </c>
      <c r="G43" s="80"/>
      <c r="H43" s="2"/>
    </row>
    <row r="44" spans="1:8" ht="24.95" customHeight="1" x14ac:dyDescent="0.3">
      <c r="A44" s="49"/>
      <c r="B44" s="49"/>
      <c r="C44" s="50"/>
      <c r="D44" s="50"/>
      <c r="E44" s="37" t="e">
        <f t="shared" ca="1" si="2"/>
        <v>#REF!</v>
      </c>
      <c r="F44" s="62" t="e">
        <f t="shared" ca="1" si="1"/>
        <v>#REF!</v>
      </c>
      <c r="G44" s="80"/>
      <c r="H44" s="2"/>
    </row>
    <row r="45" spans="1:8" ht="24.95" customHeight="1" x14ac:dyDescent="0.3">
      <c r="A45" s="49"/>
      <c r="B45" s="49"/>
      <c r="C45" s="50"/>
      <c r="D45" s="50"/>
      <c r="E45" s="37" t="e">
        <f t="shared" ca="1" si="2"/>
        <v>#REF!</v>
      </c>
      <c r="F45" s="62" t="e">
        <f t="shared" ca="1" si="1"/>
        <v>#REF!</v>
      </c>
      <c r="G45" s="80"/>
      <c r="H45" s="2"/>
    </row>
    <row r="46" spans="1:8" ht="24.95" customHeight="1" x14ac:dyDescent="0.3">
      <c r="A46" s="49"/>
      <c r="B46" s="49"/>
      <c r="C46" s="50"/>
      <c r="D46" s="50"/>
      <c r="E46" s="37" t="e">
        <f t="shared" ca="1" si="2"/>
        <v>#REF!</v>
      </c>
      <c r="F46" s="62" t="e">
        <f t="shared" ca="1" si="1"/>
        <v>#REF!</v>
      </c>
      <c r="G46" s="80"/>
      <c r="H46" s="2"/>
    </row>
    <row r="47" spans="1:8" ht="24.95" customHeight="1" x14ac:dyDescent="0.3">
      <c r="A47" s="49"/>
      <c r="B47" s="49"/>
      <c r="C47" s="50"/>
      <c r="D47" s="50"/>
      <c r="E47" s="37" t="e">
        <f t="shared" ca="1" si="2"/>
        <v>#REF!</v>
      </c>
      <c r="F47" s="62" t="e">
        <f t="shared" ca="1" si="1"/>
        <v>#REF!</v>
      </c>
      <c r="G47" s="80"/>
      <c r="H47" s="2"/>
    </row>
    <row r="48" spans="1:8" ht="24.95" customHeight="1" x14ac:dyDescent="0.3">
      <c r="A48" s="49"/>
      <c r="B48" s="49"/>
      <c r="C48" s="50"/>
      <c r="D48" s="50"/>
      <c r="E48" s="37" t="e">
        <f t="shared" ca="1" si="2"/>
        <v>#REF!</v>
      </c>
      <c r="F48" s="62" t="e">
        <f t="shared" ca="1" si="1"/>
        <v>#REF!</v>
      </c>
      <c r="G48" s="80"/>
      <c r="H48" s="2"/>
    </row>
    <row r="49" spans="1:8" ht="24.95" customHeight="1" x14ac:dyDescent="0.3">
      <c r="A49" s="49"/>
      <c r="B49" s="49"/>
      <c r="C49" s="50"/>
      <c r="D49" s="50"/>
      <c r="E49" s="37" t="e">
        <f t="shared" ca="1" si="2"/>
        <v>#REF!</v>
      </c>
      <c r="F49" s="62" t="e">
        <f t="shared" ca="1" si="1"/>
        <v>#REF!</v>
      </c>
      <c r="G49" s="80"/>
      <c r="H49" s="2"/>
    </row>
    <row r="50" spans="1:8" ht="24.95" customHeight="1" x14ac:dyDescent="0.3">
      <c r="A50" s="49"/>
      <c r="B50" s="49"/>
      <c r="C50" s="50"/>
      <c r="D50" s="50"/>
      <c r="E50" s="37" t="e">
        <f t="shared" ca="1" si="2"/>
        <v>#REF!</v>
      </c>
      <c r="F50" s="62" t="e">
        <f t="shared" ca="1" si="1"/>
        <v>#REF!</v>
      </c>
      <c r="G50" s="80"/>
      <c r="H50" s="2"/>
    </row>
    <row r="51" spans="1:8" ht="24.95" customHeight="1" x14ac:dyDescent="0.3">
      <c r="A51" s="49"/>
      <c r="B51" s="49"/>
      <c r="C51" s="50"/>
      <c r="D51" s="50"/>
      <c r="E51" s="37" t="e">
        <f t="shared" ca="1" si="2"/>
        <v>#REF!</v>
      </c>
      <c r="F51" s="62" t="e">
        <f t="shared" ca="1" si="1"/>
        <v>#REF!</v>
      </c>
      <c r="G51" s="80"/>
      <c r="H51" s="2"/>
    </row>
    <row r="52" spans="1:8" ht="24.95" customHeight="1" x14ac:dyDescent="0.3">
      <c r="A52" s="49"/>
      <c r="B52" s="49"/>
      <c r="C52" s="50"/>
      <c r="D52" s="50"/>
      <c r="E52" s="37" t="e">
        <f t="shared" ca="1" si="2"/>
        <v>#REF!</v>
      </c>
      <c r="F52" s="62" t="e">
        <f t="shared" ca="1" si="1"/>
        <v>#REF!</v>
      </c>
      <c r="G52" s="80"/>
      <c r="H52" s="2"/>
    </row>
    <row r="53" spans="1:8" ht="24.95" customHeight="1" x14ac:dyDescent="0.3">
      <c r="A53" s="49"/>
      <c r="B53" s="49"/>
      <c r="C53" s="50"/>
      <c r="D53" s="50"/>
      <c r="E53" s="37" t="e">
        <f t="shared" ca="1" si="2"/>
        <v>#REF!</v>
      </c>
      <c r="F53" s="62" t="e">
        <f t="shared" ca="1" si="1"/>
        <v>#REF!</v>
      </c>
      <c r="G53" s="80"/>
      <c r="H53" s="2"/>
    </row>
    <row r="54" spans="1:8" ht="24.95" customHeight="1" x14ac:dyDescent="0.3">
      <c r="A54" s="49"/>
      <c r="B54" s="49"/>
      <c r="C54" s="50"/>
      <c r="D54" s="50"/>
      <c r="E54" s="37" t="e">
        <f t="shared" ca="1" si="2"/>
        <v>#REF!</v>
      </c>
      <c r="F54" s="62" t="e">
        <f t="shared" ca="1" si="1"/>
        <v>#REF!</v>
      </c>
      <c r="G54" s="80"/>
      <c r="H54" s="2"/>
    </row>
    <row r="55" spans="1:8" ht="24.95" customHeight="1" x14ac:dyDescent="0.3">
      <c r="A55" s="49"/>
      <c r="B55" s="49"/>
      <c r="C55" s="50"/>
      <c r="D55" s="50"/>
      <c r="E55" s="37" t="e">
        <f t="shared" ca="1" si="2"/>
        <v>#REF!</v>
      </c>
      <c r="F55" s="62" t="e">
        <f t="shared" ca="1" si="1"/>
        <v>#REF!</v>
      </c>
      <c r="G55" s="80"/>
      <c r="H55" s="2"/>
    </row>
    <row r="56" spans="1:8" ht="24.95" customHeight="1" x14ac:dyDescent="0.3">
      <c r="A56" s="49"/>
      <c r="B56" s="49"/>
      <c r="C56" s="50"/>
      <c r="D56" s="50"/>
      <c r="E56" s="37" t="e">
        <f t="shared" ca="1" si="2"/>
        <v>#REF!</v>
      </c>
      <c r="F56" s="62" t="e">
        <f t="shared" ca="1" si="1"/>
        <v>#REF!</v>
      </c>
      <c r="G56" s="80"/>
      <c r="H56" s="2"/>
    </row>
    <row r="57" spans="1:8" ht="24.95" customHeight="1" x14ac:dyDescent="0.3">
      <c r="A57" s="49"/>
      <c r="B57" s="49"/>
      <c r="C57" s="50"/>
      <c r="D57" s="50"/>
      <c r="E57" s="37" t="e">
        <f t="shared" ca="1" si="2"/>
        <v>#REF!</v>
      </c>
      <c r="F57" s="62" t="e">
        <f t="shared" ca="1" si="1"/>
        <v>#REF!</v>
      </c>
      <c r="G57" s="80"/>
      <c r="H57" s="2"/>
    </row>
    <row r="58" spans="1:8" ht="24.95" customHeight="1" x14ac:dyDescent="0.3">
      <c r="A58" s="49"/>
      <c r="B58" s="49"/>
      <c r="C58" s="50"/>
      <c r="D58" s="50"/>
      <c r="E58" s="37" t="e">
        <f t="shared" ca="1" si="2"/>
        <v>#REF!</v>
      </c>
      <c r="F58" s="62" t="e">
        <f t="shared" ca="1" si="1"/>
        <v>#REF!</v>
      </c>
      <c r="G58" s="80"/>
      <c r="H58" s="2"/>
    </row>
    <row r="59" spans="1:8" ht="24.95" customHeight="1" x14ac:dyDescent="0.3">
      <c r="A59" s="49"/>
      <c r="B59" s="49"/>
      <c r="C59" s="50"/>
      <c r="D59" s="50"/>
      <c r="E59" s="37" t="e">
        <f t="shared" ca="1" si="2"/>
        <v>#REF!</v>
      </c>
      <c r="F59" s="62" t="e">
        <f t="shared" ca="1" si="1"/>
        <v>#REF!</v>
      </c>
      <c r="G59" s="80"/>
      <c r="H59" s="2"/>
    </row>
    <row r="60" spans="1:8" ht="24.95" customHeight="1" x14ac:dyDescent="0.3">
      <c r="A60" s="49"/>
      <c r="B60" s="49"/>
      <c r="C60" s="50"/>
      <c r="D60" s="50"/>
      <c r="E60" s="37" t="e">
        <f t="shared" ca="1" si="2"/>
        <v>#REF!</v>
      </c>
      <c r="F60" s="62" t="e">
        <f t="shared" ca="1" si="1"/>
        <v>#REF!</v>
      </c>
      <c r="G60" s="80"/>
      <c r="H60" s="2"/>
    </row>
    <row r="61" spans="1:8" ht="24.95" customHeight="1" x14ac:dyDescent="0.3">
      <c r="A61" s="49"/>
      <c r="B61" s="49"/>
      <c r="C61" s="50"/>
      <c r="D61" s="50"/>
      <c r="E61" s="37" t="e">
        <f t="shared" ca="1" si="2"/>
        <v>#REF!</v>
      </c>
      <c r="F61" s="62" t="e">
        <f t="shared" ca="1" si="1"/>
        <v>#REF!</v>
      </c>
      <c r="G61" s="80"/>
      <c r="H61" s="2"/>
    </row>
    <row r="62" spans="1:8" ht="24.95" customHeight="1" x14ac:dyDescent="0.3">
      <c r="A62" s="49"/>
      <c r="B62" s="49"/>
      <c r="C62" s="50"/>
      <c r="D62" s="50"/>
      <c r="E62" s="37" t="e">
        <f t="shared" ca="1" si="2"/>
        <v>#REF!</v>
      </c>
      <c r="F62" s="62" t="e">
        <f t="shared" ca="1" si="1"/>
        <v>#REF!</v>
      </c>
      <c r="G62" s="80"/>
      <c r="H62" s="2"/>
    </row>
    <row r="63" spans="1:8" ht="24.95" customHeight="1" x14ac:dyDescent="0.3">
      <c r="A63" s="49"/>
      <c r="B63" s="49"/>
      <c r="C63" s="50"/>
      <c r="D63" s="50"/>
      <c r="E63" s="37" t="e">
        <f t="shared" ca="1" si="2"/>
        <v>#REF!</v>
      </c>
      <c r="F63" s="62" t="e">
        <f t="shared" ca="1" si="1"/>
        <v>#REF!</v>
      </c>
      <c r="G63" s="80"/>
      <c r="H63" s="2"/>
    </row>
    <row r="64" spans="1:8" ht="24.95" customHeight="1" x14ac:dyDescent="0.3">
      <c r="A64" s="49"/>
      <c r="B64" s="49"/>
      <c r="C64" s="50"/>
      <c r="D64" s="50"/>
      <c r="E64" s="37" t="e">
        <f t="shared" ca="1" si="2"/>
        <v>#REF!</v>
      </c>
      <c r="F64" s="62" t="e">
        <f t="shared" ca="1" si="1"/>
        <v>#REF!</v>
      </c>
      <c r="G64" s="80"/>
      <c r="H64" s="2"/>
    </row>
    <row r="65" spans="1:8" ht="24.95" customHeight="1" x14ac:dyDescent="0.3">
      <c r="A65" s="49"/>
      <c r="B65" s="49"/>
      <c r="C65" s="50"/>
      <c r="D65" s="50"/>
      <c r="E65" s="37" t="e">
        <f t="shared" ca="1" si="2"/>
        <v>#REF!</v>
      </c>
      <c r="F65" s="62" t="e">
        <f t="shared" ca="1" si="1"/>
        <v>#REF!</v>
      </c>
      <c r="G65" s="80"/>
      <c r="H65" s="2"/>
    </row>
    <row r="66" spans="1:8" ht="24.95" customHeight="1" x14ac:dyDescent="0.3">
      <c r="A66" s="49"/>
      <c r="B66" s="49"/>
      <c r="C66" s="50"/>
      <c r="D66" s="50"/>
      <c r="E66" s="37" t="e">
        <f t="shared" ref="E66:E97" ca="1" si="3">SUMPRODUCT(SUMIFS(INDIRECT("'"&amp;$H$2:$H$42&amp;"'!L35:L100"),INDIRECT("'"&amp;$H$2:$H$42&amp;"'!H35:H100"),A66,INDIRECT("'"&amp;$H$2:$H$42&amp;"'!I35:I100"),B66,INDIRECT("'"&amp;$H$2:$H$42&amp;"'!F35:F100"),C66))</f>
        <v>#REF!</v>
      </c>
      <c r="F66" s="62" t="e">
        <f t="shared" ca="1" si="1"/>
        <v>#REF!</v>
      </c>
      <c r="G66" s="80"/>
      <c r="H66" s="2"/>
    </row>
    <row r="67" spans="1:8" ht="24.95" customHeight="1" x14ac:dyDescent="0.3">
      <c r="A67" s="49"/>
      <c r="B67" s="49"/>
      <c r="C67" s="50"/>
      <c r="D67" s="50"/>
      <c r="E67" s="37" t="e">
        <f t="shared" ca="1" si="3"/>
        <v>#REF!</v>
      </c>
      <c r="F67" s="62" t="e">
        <f t="shared" ref="F67:F106" ca="1" si="4">D67*E67</f>
        <v>#REF!</v>
      </c>
      <c r="G67" s="80"/>
      <c r="H67" s="2"/>
    </row>
    <row r="68" spans="1:8" ht="24.95" customHeight="1" x14ac:dyDescent="0.3">
      <c r="A68" s="49"/>
      <c r="B68" s="49"/>
      <c r="C68" s="50"/>
      <c r="D68" s="50"/>
      <c r="E68" s="37" t="e">
        <f t="shared" ca="1" si="3"/>
        <v>#REF!</v>
      </c>
      <c r="F68" s="62" t="e">
        <f t="shared" ca="1" si="4"/>
        <v>#REF!</v>
      </c>
      <c r="G68" s="80"/>
      <c r="H68" s="2"/>
    </row>
    <row r="69" spans="1:8" ht="24.95" customHeight="1" x14ac:dyDescent="0.3">
      <c r="A69" s="49"/>
      <c r="B69" s="49"/>
      <c r="C69" s="50"/>
      <c r="D69" s="50"/>
      <c r="E69" s="37" t="e">
        <f t="shared" ca="1" si="3"/>
        <v>#REF!</v>
      </c>
      <c r="F69" s="62" t="e">
        <f t="shared" ca="1" si="4"/>
        <v>#REF!</v>
      </c>
      <c r="G69" s="80"/>
      <c r="H69" s="2"/>
    </row>
    <row r="70" spans="1:8" ht="24.95" customHeight="1" x14ac:dyDescent="0.3">
      <c r="A70" s="49"/>
      <c r="B70" s="49"/>
      <c r="C70" s="50"/>
      <c r="D70" s="50"/>
      <c r="E70" s="37" t="e">
        <f t="shared" ca="1" si="3"/>
        <v>#REF!</v>
      </c>
      <c r="F70" s="62" t="e">
        <f t="shared" ca="1" si="4"/>
        <v>#REF!</v>
      </c>
      <c r="G70" s="80"/>
      <c r="H70" s="2"/>
    </row>
    <row r="71" spans="1:8" ht="24.95" customHeight="1" x14ac:dyDescent="0.3">
      <c r="A71" s="49"/>
      <c r="B71" s="49"/>
      <c r="C71" s="50"/>
      <c r="D71" s="50"/>
      <c r="E71" s="37" t="e">
        <f t="shared" ca="1" si="3"/>
        <v>#REF!</v>
      </c>
      <c r="F71" s="62" t="e">
        <f t="shared" ca="1" si="4"/>
        <v>#REF!</v>
      </c>
      <c r="G71" s="80"/>
      <c r="H71" s="2"/>
    </row>
    <row r="72" spans="1:8" ht="24.95" customHeight="1" x14ac:dyDescent="0.3">
      <c r="A72" s="49"/>
      <c r="B72" s="49"/>
      <c r="C72" s="50"/>
      <c r="D72" s="50"/>
      <c r="E72" s="37" t="e">
        <f t="shared" ca="1" si="3"/>
        <v>#REF!</v>
      </c>
      <c r="F72" s="62" t="e">
        <f t="shared" ca="1" si="4"/>
        <v>#REF!</v>
      </c>
      <c r="G72" s="80"/>
      <c r="H72" s="2"/>
    </row>
    <row r="73" spans="1:8" ht="24.95" customHeight="1" x14ac:dyDescent="0.3">
      <c r="A73" s="49"/>
      <c r="B73" s="49"/>
      <c r="C73" s="50"/>
      <c r="D73" s="50"/>
      <c r="E73" s="37" t="e">
        <f t="shared" ca="1" si="3"/>
        <v>#REF!</v>
      </c>
      <c r="F73" s="62" t="e">
        <f t="shared" ca="1" si="4"/>
        <v>#REF!</v>
      </c>
      <c r="G73" s="80"/>
      <c r="H73" s="2"/>
    </row>
    <row r="74" spans="1:8" ht="24.95" customHeight="1" x14ac:dyDescent="0.3">
      <c r="A74" s="49"/>
      <c r="B74" s="49"/>
      <c r="C74" s="50"/>
      <c r="D74" s="50"/>
      <c r="E74" s="37" t="e">
        <f t="shared" ca="1" si="3"/>
        <v>#REF!</v>
      </c>
      <c r="F74" s="62" t="e">
        <f t="shared" ca="1" si="4"/>
        <v>#REF!</v>
      </c>
      <c r="G74" s="80"/>
      <c r="H74" s="2"/>
    </row>
    <row r="75" spans="1:8" ht="24.95" customHeight="1" x14ac:dyDescent="0.3">
      <c r="A75" s="49"/>
      <c r="B75" s="49"/>
      <c r="C75" s="50"/>
      <c r="D75" s="50"/>
      <c r="E75" s="37" t="e">
        <f t="shared" ca="1" si="3"/>
        <v>#REF!</v>
      </c>
      <c r="F75" s="62" t="e">
        <f t="shared" ca="1" si="4"/>
        <v>#REF!</v>
      </c>
      <c r="G75" s="80"/>
      <c r="H75" s="2"/>
    </row>
    <row r="76" spans="1:8" ht="24.95" customHeight="1" x14ac:dyDescent="0.3">
      <c r="A76" s="49"/>
      <c r="B76" s="49"/>
      <c r="C76" s="50"/>
      <c r="D76" s="50"/>
      <c r="E76" s="37" t="e">
        <f t="shared" ca="1" si="3"/>
        <v>#REF!</v>
      </c>
      <c r="F76" s="62" t="e">
        <f t="shared" ca="1" si="4"/>
        <v>#REF!</v>
      </c>
      <c r="G76" s="80"/>
      <c r="H76" s="2"/>
    </row>
    <row r="77" spans="1:8" ht="24.95" customHeight="1" x14ac:dyDescent="0.3">
      <c r="A77" s="49"/>
      <c r="B77" s="49"/>
      <c r="C77" s="50"/>
      <c r="D77" s="50"/>
      <c r="E77" s="37" t="e">
        <f t="shared" ca="1" si="3"/>
        <v>#REF!</v>
      </c>
      <c r="F77" s="62" t="e">
        <f t="shared" ca="1" si="4"/>
        <v>#REF!</v>
      </c>
      <c r="G77" s="80"/>
      <c r="H77" s="2"/>
    </row>
    <row r="78" spans="1:8" ht="24.95" customHeight="1" x14ac:dyDescent="0.3">
      <c r="A78" s="49"/>
      <c r="B78" s="49"/>
      <c r="C78" s="50"/>
      <c r="D78" s="50"/>
      <c r="E78" s="37" t="e">
        <f t="shared" ca="1" si="3"/>
        <v>#REF!</v>
      </c>
      <c r="F78" s="62" t="e">
        <f t="shared" ca="1" si="4"/>
        <v>#REF!</v>
      </c>
      <c r="G78" s="80"/>
      <c r="H78" s="2"/>
    </row>
    <row r="79" spans="1:8" ht="24.95" customHeight="1" x14ac:dyDescent="0.3">
      <c r="A79" s="49"/>
      <c r="B79" s="49"/>
      <c r="C79" s="50"/>
      <c r="D79" s="50"/>
      <c r="E79" s="37" t="e">
        <f t="shared" ca="1" si="3"/>
        <v>#REF!</v>
      </c>
      <c r="F79" s="62" t="e">
        <f t="shared" ca="1" si="4"/>
        <v>#REF!</v>
      </c>
      <c r="G79" s="80"/>
      <c r="H79" s="2"/>
    </row>
    <row r="80" spans="1:8" ht="24.95" customHeight="1" x14ac:dyDescent="0.3">
      <c r="A80" s="49"/>
      <c r="B80" s="49"/>
      <c r="C80" s="50"/>
      <c r="D80" s="50"/>
      <c r="E80" s="37" t="e">
        <f t="shared" ca="1" si="3"/>
        <v>#REF!</v>
      </c>
      <c r="F80" s="62" t="e">
        <f t="shared" ca="1" si="4"/>
        <v>#REF!</v>
      </c>
      <c r="G80" s="80"/>
      <c r="H80" s="2"/>
    </row>
    <row r="81" spans="1:8" ht="24.95" customHeight="1" x14ac:dyDescent="0.3">
      <c r="A81" s="49"/>
      <c r="B81" s="49"/>
      <c r="C81" s="50"/>
      <c r="D81" s="50"/>
      <c r="E81" s="37" t="e">
        <f t="shared" ca="1" si="3"/>
        <v>#REF!</v>
      </c>
      <c r="F81" s="62" t="e">
        <f t="shared" ca="1" si="4"/>
        <v>#REF!</v>
      </c>
      <c r="G81" s="80"/>
      <c r="H81" s="2"/>
    </row>
    <row r="82" spans="1:8" ht="24.95" customHeight="1" x14ac:dyDescent="0.3">
      <c r="A82" s="49"/>
      <c r="B82" s="49"/>
      <c r="C82" s="50"/>
      <c r="D82" s="50"/>
      <c r="E82" s="37" t="e">
        <f t="shared" ca="1" si="3"/>
        <v>#REF!</v>
      </c>
      <c r="F82" s="62" t="e">
        <f t="shared" ca="1" si="4"/>
        <v>#REF!</v>
      </c>
      <c r="G82" s="80"/>
      <c r="H82" s="2"/>
    </row>
    <row r="83" spans="1:8" ht="24.95" customHeight="1" x14ac:dyDescent="0.3">
      <c r="A83" s="49"/>
      <c r="B83" s="49"/>
      <c r="C83" s="50"/>
      <c r="D83" s="50"/>
      <c r="E83" s="37" t="e">
        <f t="shared" ca="1" si="3"/>
        <v>#REF!</v>
      </c>
      <c r="F83" s="62" t="e">
        <f t="shared" ca="1" si="4"/>
        <v>#REF!</v>
      </c>
      <c r="G83" s="80"/>
      <c r="H83" s="2"/>
    </row>
    <row r="84" spans="1:8" ht="24.95" customHeight="1" x14ac:dyDescent="0.3">
      <c r="A84" s="49"/>
      <c r="B84" s="49"/>
      <c r="C84" s="50"/>
      <c r="D84" s="50"/>
      <c r="E84" s="37" t="e">
        <f t="shared" ca="1" si="3"/>
        <v>#REF!</v>
      </c>
      <c r="F84" s="62" t="e">
        <f t="shared" ca="1" si="4"/>
        <v>#REF!</v>
      </c>
      <c r="G84" s="80"/>
      <c r="H84" s="2"/>
    </row>
    <row r="85" spans="1:8" ht="24.95" customHeight="1" x14ac:dyDescent="0.3">
      <c r="A85" s="49"/>
      <c r="B85" s="49"/>
      <c r="C85" s="50"/>
      <c r="D85" s="50"/>
      <c r="E85" s="37" t="e">
        <f t="shared" ca="1" si="3"/>
        <v>#REF!</v>
      </c>
      <c r="F85" s="62" t="e">
        <f t="shared" ca="1" si="4"/>
        <v>#REF!</v>
      </c>
      <c r="G85" s="80"/>
      <c r="H85" s="2"/>
    </row>
    <row r="86" spans="1:8" ht="24.95" customHeight="1" x14ac:dyDescent="0.3">
      <c r="A86" s="49"/>
      <c r="B86" s="49"/>
      <c r="C86" s="50"/>
      <c r="D86" s="50"/>
      <c r="E86" s="37" t="e">
        <f t="shared" ca="1" si="3"/>
        <v>#REF!</v>
      </c>
      <c r="F86" s="62" t="e">
        <f t="shared" ca="1" si="4"/>
        <v>#REF!</v>
      </c>
      <c r="G86" s="80"/>
      <c r="H86" s="2"/>
    </row>
    <row r="87" spans="1:8" ht="24.95" customHeight="1" x14ac:dyDescent="0.3">
      <c r="A87" s="49"/>
      <c r="B87" s="49"/>
      <c r="C87" s="50"/>
      <c r="D87" s="50"/>
      <c r="E87" s="37" t="e">
        <f t="shared" ca="1" si="3"/>
        <v>#REF!</v>
      </c>
      <c r="F87" s="62" t="e">
        <f t="shared" ca="1" si="4"/>
        <v>#REF!</v>
      </c>
      <c r="G87" s="80"/>
      <c r="H87" s="2"/>
    </row>
    <row r="88" spans="1:8" ht="24.95" customHeight="1" x14ac:dyDescent="0.3">
      <c r="A88" s="49"/>
      <c r="B88" s="49"/>
      <c r="C88" s="50"/>
      <c r="D88" s="50"/>
      <c r="E88" s="37" t="e">
        <f t="shared" ca="1" si="3"/>
        <v>#REF!</v>
      </c>
      <c r="F88" s="62" t="e">
        <f t="shared" ca="1" si="4"/>
        <v>#REF!</v>
      </c>
      <c r="G88" s="80"/>
      <c r="H88" s="2"/>
    </row>
    <row r="89" spans="1:8" ht="24.95" customHeight="1" x14ac:dyDescent="0.3">
      <c r="A89" s="49"/>
      <c r="B89" s="49"/>
      <c r="C89" s="50"/>
      <c r="D89" s="50"/>
      <c r="E89" s="37" t="e">
        <f t="shared" ca="1" si="3"/>
        <v>#REF!</v>
      </c>
      <c r="F89" s="62" t="e">
        <f t="shared" ca="1" si="4"/>
        <v>#REF!</v>
      </c>
      <c r="G89" s="80"/>
      <c r="H89" s="2"/>
    </row>
    <row r="90" spans="1:8" ht="24.95" customHeight="1" x14ac:dyDescent="0.3">
      <c r="A90" s="49"/>
      <c r="B90" s="49"/>
      <c r="C90" s="50"/>
      <c r="D90" s="50"/>
      <c r="E90" s="37" t="e">
        <f t="shared" ca="1" si="3"/>
        <v>#REF!</v>
      </c>
      <c r="F90" s="62" t="e">
        <f t="shared" ca="1" si="4"/>
        <v>#REF!</v>
      </c>
      <c r="G90" s="80"/>
      <c r="H90" s="2"/>
    </row>
    <row r="91" spans="1:8" ht="24.95" customHeight="1" x14ac:dyDescent="0.3">
      <c r="A91" s="49"/>
      <c r="B91" s="49"/>
      <c r="C91" s="50"/>
      <c r="D91" s="50"/>
      <c r="E91" s="37" t="e">
        <f t="shared" ca="1" si="3"/>
        <v>#REF!</v>
      </c>
      <c r="F91" s="62" t="e">
        <f t="shared" ca="1" si="4"/>
        <v>#REF!</v>
      </c>
      <c r="G91" s="80"/>
      <c r="H91" s="2"/>
    </row>
    <row r="92" spans="1:8" ht="24.95" customHeight="1" x14ac:dyDescent="0.3">
      <c r="A92" s="49"/>
      <c r="B92" s="49"/>
      <c r="C92" s="50"/>
      <c r="D92" s="50"/>
      <c r="E92" s="37" t="e">
        <f t="shared" ca="1" si="3"/>
        <v>#REF!</v>
      </c>
      <c r="F92" s="62" t="e">
        <f t="shared" ca="1" si="4"/>
        <v>#REF!</v>
      </c>
      <c r="G92" s="80"/>
      <c r="H92" s="2"/>
    </row>
    <row r="93" spans="1:8" ht="24.95" customHeight="1" x14ac:dyDescent="0.3">
      <c r="A93" s="49"/>
      <c r="B93" s="49"/>
      <c r="C93" s="50"/>
      <c r="D93" s="50"/>
      <c r="E93" s="37" t="e">
        <f t="shared" ca="1" si="3"/>
        <v>#REF!</v>
      </c>
      <c r="F93" s="62" t="e">
        <f t="shared" ca="1" si="4"/>
        <v>#REF!</v>
      </c>
      <c r="G93" s="80"/>
      <c r="H93" s="2"/>
    </row>
    <row r="94" spans="1:8" ht="24.95" customHeight="1" x14ac:dyDescent="0.3">
      <c r="A94" s="49"/>
      <c r="B94" s="49"/>
      <c r="C94" s="50"/>
      <c r="D94" s="50"/>
      <c r="E94" s="37" t="e">
        <f t="shared" ca="1" si="3"/>
        <v>#REF!</v>
      </c>
      <c r="F94" s="62" t="e">
        <f t="shared" ca="1" si="4"/>
        <v>#REF!</v>
      </c>
      <c r="G94" s="80"/>
      <c r="H94" s="2"/>
    </row>
    <row r="95" spans="1:8" ht="24.95" customHeight="1" x14ac:dyDescent="0.3">
      <c r="A95" s="49"/>
      <c r="B95" s="49"/>
      <c r="C95" s="50"/>
      <c r="D95" s="50"/>
      <c r="E95" s="37" t="e">
        <f t="shared" ca="1" si="3"/>
        <v>#REF!</v>
      </c>
      <c r="F95" s="62" t="e">
        <f t="shared" ca="1" si="4"/>
        <v>#REF!</v>
      </c>
      <c r="G95" s="80"/>
      <c r="H95" s="2"/>
    </row>
    <row r="96" spans="1:8" ht="24.95" customHeight="1" x14ac:dyDescent="0.3">
      <c r="A96" s="49"/>
      <c r="B96" s="49"/>
      <c r="C96" s="50"/>
      <c r="D96" s="50"/>
      <c r="E96" s="37" t="e">
        <f t="shared" ca="1" si="3"/>
        <v>#REF!</v>
      </c>
      <c r="F96" s="62" t="e">
        <f t="shared" ca="1" si="4"/>
        <v>#REF!</v>
      </c>
      <c r="G96" s="80"/>
      <c r="H96" s="2"/>
    </row>
    <row r="97" spans="1:15" ht="24.95" customHeight="1" x14ac:dyDescent="0.3">
      <c r="A97" s="49"/>
      <c r="B97" s="49"/>
      <c r="C97" s="50"/>
      <c r="D97" s="50"/>
      <c r="E97" s="37" t="e">
        <f t="shared" ca="1" si="3"/>
        <v>#REF!</v>
      </c>
      <c r="F97" s="62" t="e">
        <f t="shared" ca="1" si="4"/>
        <v>#REF!</v>
      </c>
      <c r="G97" s="80"/>
      <c r="H97" s="2"/>
    </row>
    <row r="98" spans="1:15" ht="24.95" customHeight="1" x14ac:dyDescent="0.3">
      <c r="A98" s="49"/>
      <c r="B98" s="49"/>
      <c r="C98" s="50"/>
      <c r="D98" s="50"/>
      <c r="E98" s="37" t="e">
        <f t="shared" ref="E98:E106" ca="1" si="5">SUMPRODUCT(SUMIFS(INDIRECT("'"&amp;$H$2:$H$42&amp;"'!L35:L100"),INDIRECT("'"&amp;$H$2:$H$42&amp;"'!H35:H100"),A98,INDIRECT("'"&amp;$H$2:$H$42&amp;"'!I35:I100"),B98,INDIRECT("'"&amp;$H$2:$H$42&amp;"'!F35:F100"),C98))</f>
        <v>#REF!</v>
      </c>
      <c r="F98" s="62" t="e">
        <f t="shared" ca="1" si="4"/>
        <v>#REF!</v>
      </c>
      <c r="G98" s="80"/>
      <c r="H98" s="2"/>
    </row>
    <row r="99" spans="1:15" ht="24.95" customHeight="1" x14ac:dyDescent="0.3">
      <c r="A99" s="49"/>
      <c r="B99" s="49"/>
      <c r="C99" s="50"/>
      <c r="D99" s="50"/>
      <c r="E99" s="37" t="e">
        <f t="shared" ca="1" si="5"/>
        <v>#REF!</v>
      </c>
      <c r="F99" s="62" t="e">
        <f t="shared" ca="1" si="4"/>
        <v>#REF!</v>
      </c>
      <c r="G99" s="80"/>
      <c r="H99" s="2"/>
    </row>
    <row r="100" spans="1:15" ht="24.95" customHeight="1" x14ac:dyDescent="0.3">
      <c r="A100" s="49"/>
      <c r="B100" s="49"/>
      <c r="C100" s="50"/>
      <c r="D100" s="50"/>
      <c r="E100" s="37" t="e">
        <f t="shared" ca="1" si="5"/>
        <v>#REF!</v>
      </c>
      <c r="F100" s="62" t="e">
        <f t="shared" ca="1" si="4"/>
        <v>#REF!</v>
      </c>
      <c r="G100" s="80"/>
      <c r="H100" s="2"/>
    </row>
    <row r="101" spans="1:15" ht="24.95" customHeight="1" x14ac:dyDescent="0.3">
      <c r="A101" s="49"/>
      <c r="B101" s="49"/>
      <c r="C101" s="50"/>
      <c r="D101" s="50"/>
      <c r="E101" s="37" t="e">
        <f t="shared" ca="1" si="5"/>
        <v>#REF!</v>
      </c>
      <c r="F101" s="62" t="e">
        <f t="shared" ca="1" si="4"/>
        <v>#REF!</v>
      </c>
      <c r="G101" s="80"/>
      <c r="H101" s="2"/>
    </row>
    <row r="102" spans="1:15" ht="24.95" customHeight="1" x14ac:dyDescent="0.3">
      <c r="A102" s="49"/>
      <c r="B102" s="49"/>
      <c r="C102" s="50"/>
      <c r="D102" s="50"/>
      <c r="E102" s="37" t="e">
        <f t="shared" ca="1" si="5"/>
        <v>#REF!</v>
      </c>
      <c r="F102" s="62" t="e">
        <f t="shared" ca="1" si="4"/>
        <v>#REF!</v>
      </c>
      <c r="G102" s="80"/>
      <c r="H102" s="2"/>
    </row>
    <row r="103" spans="1:15" ht="24.95" customHeight="1" x14ac:dyDescent="0.3">
      <c r="A103" s="49"/>
      <c r="B103" s="49"/>
      <c r="C103" s="50"/>
      <c r="D103" s="50"/>
      <c r="E103" s="37" t="e">
        <f t="shared" ca="1" si="5"/>
        <v>#REF!</v>
      </c>
      <c r="F103" s="62" t="e">
        <f t="shared" ca="1" si="4"/>
        <v>#REF!</v>
      </c>
      <c r="G103" s="80"/>
      <c r="H103" s="2"/>
    </row>
    <row r="104" spans="1:15" ht="24.95" customHeight="1" x14ac:dyDescent="0.3">
      <c r="A104" s="49"/>
      <c r="B104" s="49"/>
      <c r="C104" s="50"/>
      <c r="D104" s="50"/>
      <c r="E104" s="37" t="e">
        <f t="shared" ca="1" si="5"/>
        <v>#REF!</v>
      </c>
      <c r="F104" s="62" t="e">
        <f t="shared" ca="1" si="4"/>
        <v>#REF!</v>
      </c>
      <c r="G104" s="80"/>
      <c r="H104" s="2"/>
    </row>
    <row r="105" spans="1:15" ht="24.95" customHeight="1" x14ac:dyDescent="0.3">
      <c r="A105" s="49"/>
      <c r="B105" s="49"/>
      <c r="C105" s="50"/>
      <c r="D105" s="50"/>
      <c r="E105" s="37" t="e">
        <f t="shared" ca="1" si="5"/>
        <v>#REF!</v>
      </c>
      <c r="F105" s="62" t="e">
        <f t="shared" ca="1" si="4"/>
        <v>#REF!</v>
      </c>
      <c r="G105" s="80"/>
      <c r="H105" s="2"/>
    </row>
    <row r="106" spans="1:15" ht="24.95" customHeight="1" x14ac:dyDescent="0.3">
      <c r="A106" s="49"/>
      <c r="B106" s="49"/>
      <c r="C106" s="50"/>
      <c r="D106" s="50"/>
      <c r="E106" s="37" t="e">
        <f t="shared" ca="1" si="5"/>
        <v>#REF!</v>
      </c>
      <c r="F106" s="62" t="e">
        <f t="shared" ca="1" si="4"/>
        <v>#REF!</v>
      </c>
      <c r="G106" s="80"/>
      <c r="H106" s="2"/>
    </row>
    <row r="107" spans="1:15" ht="24.95" customHeight="1" x14ac:dyDescent="0.5">
      <c r="A107" s="112" t="s">
        <v>38</v>
      </c>
      <c r="B107" s="112"/>
      <c r="C107" s="112"/>
      <c r="D107" s="81"/>
      <c r="E107" s="82" t="e">
        <f ca="1">SUM(E2:E106)</f>
        <v>#REF!</v>
      </c>
      <c r="F107" s="39" t="e">
        <f ca="1">SUM(F2:F106)</f>
        <v>#REF!</v>
      </c>
      <c r="G107" s="39"/>
      <c r="H107" s="2"/>
    </row>
    <row r="108" spans="1:15" ht="46.5" x14ac:dyDescent="0.35">
      <c r="A108" s="46"/>
      <c r="B108" s="47"/>
      <c r="C108" s="47"/>
      <c r="D108" s="47"/>
      <c r="E108" s="47"/>
      <c r="F108" s="47"/>
      <c r="G108" s="47"/>
      <c r="J108" s="113" t="e">
        <f ca="1">"Контракт " &amp;INDIRECT(CONCATENATE(H2,"!S23"))&amp;" инфо на " &amp; COUNTA(H2:H106) &amp; " ктк"</f>
        <v>#REF!</v>
      </c>
      <c r="K108" s="114"/>
      <c r="L108" s="114"/>
      <c r="M108" s="114"/>
      <c r="N108" s="115"/>
    </row>
    <row r="109" spans="1:15" x14ac:dyDescent="0.35">
      <c r="A109" s="46"/>
      <c r="B109" s="47"/>
      <c r="C109" s="47"/>
      <c r="D109" s="47"/>
      <c r="E109" s="47"/>
      <c r="F109" s="47"/>
      <c r="G109" s="47"/>
      <c r="J109" s="70" t="s">
        <v>57</v>
      </c>
      <c r="K109" s="78" t="s">
        <v>37</v>
      </c>
      <c r="L109" s="78" t="s">
        <v>65</v>
      </c>
      <c r="M109" s="78" t="s">
        <v>66</v>
      </c>
      <c r="N109" s="78" t="s">
        <v>58</v>
      </c>
    </row>
    <row r="110" spans="1:15" x14ac:dyDescent="0.35">
      <c r="A110" s="46"/>
      <c r="B110" s="47"/>
      <c r="C110" s="47"/>
      <c r="D110" s="47"/>
      <c r="E110" s="47"/>
      <c r="F110" s="47"/>
      <c r="G110" s="47"/>
      <c r="J110" s="71"/>
      <c r="K110" s="72"/>
      <c r="L110" s="73"/>
      <c r="M110" s="73"/>
      <c r="N110" s="83">
        <f>K110-L110-M110</f>
        <v>0</v>
      </c>
      <c r="O110" s="91" t="b">
        <f>IF(N110&lt;0,"Перегружено")</f>
        <v>0</v>
      </c>
    </row>
    <row r="111" spans="1:15" x14ac:dyDescent="0.35">
      <c r="A111" s="46"/>
      <c r="B111" s="47"/>
      <c r="C111" s="47"/>
      <c r="D111" s="47"/>
      <c r="E111" s="47"/>
      <c r="F111" s="47"/>
      <c r="G111" s="47"/>
      <c r="J111" s="71"/>
      <c r="K111" s="72"/>
      <c r="L111" s="73"/>
      <c r="M111" s="73"/>
      <c r="N111" s="83">
        <f t="shared" ref="N111:N131" si="6">K111-L111-M111</f>
        <v>0</v>
      </c>
      <c r="O111" s="91" t="b">
        <f t="shared" ref="O111:O131" si="7">IF(N111&lt;0,"Перегружено")</f>
        <v>0</v>
      </c>
    </row>
    <row r="112" spans="1:15" x14ac:dyDescent="0.35">
      <c r="A112" s="46"/>
      <c r="B112" s="47"/>
      <c r="C112" s="47"/>
      <c r="D112" s="47"/>
      <c r="E112" s="47"/>
      <c r="F112" s="47"/>
      <c r="G112" s="47"/>
      <c r="J112" s="71"/>
      <c r="K112" s="72"/>
      <c r="L112" s="73"/>
      <c r="M112" s="73"/>
      <c r="N112" s="83">
        <f t="shared" si="6"/>
        <v>0</v>
      </c>
      <c r="O112" s="91" t="b">
        <f t="shared" si="7"/>
        <v>0</v>
      </c>
    </row>
    <row r="113" spans="1:15" x14ac:dyDescent="0.35">
      <c r="A113" s="46"/>
      <c r="B113" s="47"/>
      <c r="C113" s="47"/>
      <c r="D113" s="47"/>
      <c r="E113" s="47"/>
      <c r="F113" s="47"/>
      <c r="G113" s="47"/>
      <c r="J113" s="71"/>
      <c r="K113" s="72"/>
      <c r="L113" s="73"/>
      <c r="M113" s="73"/>
      <c r="N113" s="83">
        <f t="shared" si="6"/>
        <v>0</v>
      </c>
      <c r="O113" s="91" t="b">
        <f t="shared" si="7"/>
        <v>0</v>
      </c>
    </row>
    <row r="114" spans="1:15" x14ac:dyDescent="0.35">
      <c r="A114" s="46"/>
      <c r="B114" s="47"/>
      <c r="C114" s="47"/>
      <c r="D114" s="47"/>
      <c r="E114" s="47"/>
      <c r="F114" s="47"/>
      <c r="G114" s="47"/>
      <c r="J114" s="71"/>
      <c r="K114" s="72"/>
      <c r="L114" s="73"/>
      <c r="M114" s="73"/>
      <c r="N114" s="83">
        <f t="shared" si="6"/>
        <v>0</v>
      </c>
      <c r="O114" s="91" t="b">
        <f t="shared" si="7"/>
        <v>0</v>
      </c>
    </row>
    <row r="115" spans="1:15" x14ac:dyDescent="0.35">
      <c r="A115" s="46"/>
      <c r="B115" s="47"/>
      <c r="C115" s="47"/>
      <c r="D115" s="47"/>
      <c r="E115" s="47"/>
      <c r="F115" s="47"/>
      <c r="G115" s="47"/>
      <c r="J115" s="71"/>
      <c r="K115" s="72"/>
      <c r="L115" s="73"/>
      <c r="M115" s="73"/>
      <c r="N115" s="83">
        <f t="shared" si="6"/>
        <v>0</v>
      </c>
      <c r="O115" s="91" t="b">
        <f t="shared" si="7"/>
        <v>0</v>
      </c>
    </row>
    <row r="116" spans="1:15" x14ac:dyDescent="0.35">
      <c r="A116" s="46"/>
      <c r="B116" s="47"/>
      <c r="C116" s="47"/>
      <c r="D116" s="47"/>
      <c r="E116" s="47"/>
      <c r="F116" s="47"/>
      <c r="G116" s="47"/>
      <c r="J116" s="71"/>
      <c r="K116" s="72"/>
      <c r="L116" s="73"/>
      <c r="M116" s="73"/>
      <c r="N116" s="83">
        <f t="shared" si="6"/>
        <v>0</v>
      </c>
      <c r="O116" s="91" t="b">
        <f t="shared" si="7"/>
        <v>0</v>
      </c>
    </row>
    <row r="117" spans="1:15" x14ac:dyDescent="0.35">
      <c r="A117" s="46"/>
      <c r="B117" s="47"/>
      <c r="C117" s="47"/>
      <c r="D117" s="47"/>
      <c r="E117" s="47"/>
      <c r="F117" s="47"/>
      <c r="G117" s="47"/>
      <c r="J117" s="71"/>
      <c r="K117" s="72"/>
      <c r="L117" s="73"/>
      <c r="M117" s="73"/>
      <c r="N117" s="83">
        <f t="shared" si="6"/>
        <v>0</v>
      </c>
      <c r="O117" s="91" t="b">
        <f t="shared" si="7"/>
        <v>0</v>
      </c>
    </row>
    <row r="118" spans="1:15" x14ac:dyDescent="0.35">
      <c r="A118" s="46"/>
      <c r="B118" s="47"/>
      <c r="C118" s="47"/>
      <c r="D118" s="47"/>
      <c r="E118" s="47"/>
      <c r="F118" s="47"/>
      <c r="G118" s="47"/>
      <c r="J118" s="71"/>
      <c r="K118" s="72"/>
      <c r="L118" s="73"/>
      <c r="M118" s="73"/>
      <c r="N118" s="83">
        <f t="shared" si="6"/>
        <v>0</v>
      </c>
      <c r="O118" s="91" t="b">
        <f t="shared" si="7"/>
        <v>0</v>
      </c>
    </row>
    <row r="119" spans="1:15" x14ac:dyDescent="0.35">
      <c r="A119" s="46"/>
      <c r="B119" s="47"/>
      <c r="C119" s="47"/>
      <c r="D119" s="47"/>
      <c r="E119" s="47"/>
      <c r="F119" s="47"/>
      <c r="G119" s="47"/>
      <c r="J119" s="71"/>
      <c r="K119" s="72"/>
      <c r="L119" s="73"/>
      <c r="M119" s="73"/>
      <c r="N119" s="83">
        <f t="shared" si="6"/>
        <v>0</v>
      </c>
      <c r="O119" s="91" t="b">
        <f t="shared" si="7"/>
        <v>0</v>
      </c>
    </row>
    <row r="120" spans="1:15" x14ac:dyDescent="0.35">
      <c r="A120" s="46"/>
      <c r="B120" s="47"/>
      <c r="C120" s="47"/>
      <c r="D120" s="47"/>
      <c r="E120" s="47"/>
      <c r="F120" s="47"/>
      <c r="G120" s="47"/>
      <c r="J120" s="71"/>
      <c r="K120" s="72"/>
      <c r="L120" s="73"/>
      <c r="M120" s="73"/>
      <c r="N120" s="83">
        <f t="shared" si="6"/>
        <v>0</v>
      </c>
      <c r="O120" s="91" t="b">
        <f t="shared" si="7"/>
        <v>0</v>
      </c>
    </row>
    <row r="121" spans="1:15" x14ac:dyDescent="0.35">
      <c r="A121" s="46"/>
      <c r="B121" s="47"/>
      <c r="C121" s="47"/>
      <c r="D121" s="47"/>
      <c r="E121" s="47"/>
      <c r="F121" s="47"/>
      <c r="G121" s="47"/>
      <c r="J121" s="71"/>
      <c r="K121" s="72"/>
      <c r="L121" s="73"/>
      <c r="M121" s="73"/>
      <c r="N121" s="83">
        <f t="shared" si="6"/>
        <v>0</v>
      </c>
      <c r="O121" s="91" t="b">
        <f t="shared" si="7"/>
        <v>0</v>
      </c>
    </row>
    <row r="122" spans="1:15" x14ac:dyDescent="0.35">
      <c r="A122" s="46"/>
      <c r="B122" s="47"/>
      <c r="C122" s="47"/>
      <c r="D122" s="47"/>
      <c r="E122" s="47"/>
      <c r="F122" s="47"/>
      <c r="G122" s="47"/>
      <c r="J122" s="71"/>
      <c r="K122" s="72"/>
      <c r="L122" s="73"/>
      <c r="M122" s="73"/>
      <c r="N122" s="83">
        <f t="shared" si="6"/>
        <v>0</v>
      </c>
      <c r="O122" s="91" t="b">
        <f t="shared" si="7"/>
        <v>0</v>
      </c>
    </row>
    <row r="123" spans="1:15" x14ac:dyDescent="0.35">
      <c r="A123" s="46"/>
      <c r="B123" s="47"/>
      <c r="C123" s="47"/>
      <c r="D123" s="47"/>
      <c r="E123" s="47"/>
      <c r="F123" s="47"/>
      <c r="G123" s="47"/>
      <c r="J123" s="71"/>
      <c r="K123" s="72"/>
      <c r="L123" s="73"/>
      <c r="M123" s="73"/>
      <c r="N123" s="83">
        <f t="shared" si="6"/>
        <v>0</v>
      </c>
      <c r="O123" s="91" t="b">
        <f t="shared" si="7"/>
        <v>0</v>
      </c>
    </row>
    <row r="124" spans="1:15" x14ac:dyDescent="0.35">
      <c r="A124" s="46"/>
      <c r="B124" s="47"/>
      <c r="C124" s="47"/>
      <c r="D124" s="47"/>
      <c r="E124" s="47"/>
      <c r="F124" s="47"/>
      <c r="G124" s="47"/>
      <c r="J124" s="71"/>
      <c r="K124" s="72"/>
      <c r="L124" s="73"/>
      <c r="M124" s="73"/>
      <c r="N124" s="83">
        <f t="shared" si="6"/>
        <v>0</v>
      </c>
      <c r="O124" s="91" t="b">
        <f t="shared" si="7"/>
        <v>0</v>
      </c>
    </row>
    <row r="125" spans="1:15" x14ac:dyDescent="0.35">
      <c r="A125" s="46"/>
      <c r="B125" s="47"/>
      <c r="C125" s="47"/>
      <c r="D125" s="47"/>
      <c r="E125" s="47"/>
      <c r="F125" s="47"/>
      <c r="G125" s="47"/>
      <c r="J125" s="71"/>
      <c r="K125" s="72"/>
      <c r="L125" s="73"/>
      <c r="M125" s="73"/>
      <c r="N125" s="83">
        <f t="shared" si="6"/>
        <v>0</v>
      </c>
      <c r="O125" s="91" t="b">
        <f t="shared" si="7"/>
        <v>0</v>
      </c>
    </row>
    <row r="126" spans="1:15" x14ac:dyDescent="0.35">
      <c r="A126" s="46"/>
      <c r="B126" s="47"/>
      <c r="C126" s="47"/>
      <c r="D126" s="47"/>
      <c r="E126" s="47"/>
      <c r="F126" s="47"/>
      <c r="G126" s="47"/>
      <c r="J126" s="71"/>
      <c r="K126" s="72"/>
      <c r="L126" s="73"/>
      <c r="M126" s="73"/>
      <c r="N126" s="83">
        <f t="shared" si="6"/>
        <v>0</v>
      </c>
      <c r="O126" s="91" t="b">
        <f t="shared" si="7"/>
        <v>0</v>
      </c>
    </row>
    <row r="127" spans="1:15" x14ac:dyDescent="0.35">
      <c r="A127" s="46"/>
      <c r="B127" s="47"/>
      <c r="C127" s="47"/>
      <c r="D127" s="47"/>
      <c r="E127" s="47"/>
      <c r="F127" s="47"/>
      <c r="G127" s="47"/>
      <c r="J127" s="71"/>
      <c r="K127" s="72"/>
      <c r="L127" s="73"/>
      <c r="M127" s="73"/>
      <c r="N127" s="83">
        <f t="shared" si="6"/>
        <v>0</v>
      </c>
      <c r="O127" s="91" t="b">
        <f t="shared" si="7"/>
        <v>0</v>
      </c>
    </row>
    <row r="128" spans="1:15" x14ac:dyDescent="0.35">
      <c r="A128" s="46"/>
      <c r="B128" s="47"/>
      <c r="C128" s="47"/>
      <c r="D128" s="47"/>
      <c r="E128" s="47"/>
      <c r="F128" s="47"/>
      <c r="G128" s="47"/>
      <c r="J128" s="71"/>
      <c r="K128" s="72"/>
      <c r="L128" s="74"/>
      <c r="M128" s="74"/>
      <c r="N128" s="83">
        <f t="shared" si="6"/>
        <v>0</v>
      </c>
      <c r="O128" s="91" t="b">
        <f t="shared" si="7"/>
        <v>0</v>
      </c>
    </row>
    <row r="129" spans="1:17" x14ac:dyDescent="0.35">
      <c r="A129" s="46"/>
      <c r="B129" s="47"/>
      <c r="C129" s="47"/>
      <c r="D129" s="47"/>
      <c r="E129" s="47"/>
      <c r="F129" s="47"/>
      <c r="G129" s="47"/>
      <c r="J129" s="71"/>
      <c r="K129" s="72"/>
      <c r="L129" s="73"/>
      <c r="M129" s="73"/>
      <c r="N129" s="83">
        <f t="shared" si="6"/>
        <v>0</v>
      </c>
      <c r="O129" s="91" t="b">
        <f t="shared" si="7"/>
        <v>0</v>
      </c>
    </row>
    <row r="130" spans="1:17" x14ac:dyDescent="0.35">
      <c r="A130" s="46"/>
      <c r="B130" s="47"/>
      <c r="C130" s="47"/>
      <c r="D130" s="47"/>
      <c r="E130" s="47"/>
      <c r="F130" s="47"/>
      <c r="G130" s="47"/>
      <c r="J130" s="71"/>
      <c r="K130" s="72"/>
      <c r="L130" s="73"/>
      <c r="M130" s="73"/>
      <c r="N130" s="83">
        <f t="shared" si="6"/>
        <v>0</v>
      </c>
      <c r="O130" s="91" t="b">
        <f t="shared" si="7"/>
        <v>0</v>
      </c>
    </row>
    <row r="131" spans="1:17" x14ac:dyDescent="0.35">
      <c r="A131" s="46"/>
      <c r="B131" s="47"/>
      <c r="C131" s="47"/>
      <c r="D131" s="47"/>
      <c r="E131" s="47"/>
      <c r="F131" s="47"/>
      <c r="G131" s="47"/>
      <c r="J131" s="75" t="s">
        <v>59</v>
      </c>
      <c r="K131" s="76">
        <f>SUM(K110:K130)</f>
        <v>0</v>
      </c>
      <c r="L131" s="77">
        <f>SUM(L110:L130)</f>
        <v>0</v>
      </c>
      <c r="M131" s="77">
        <f>SUM(M110:M130)</f>
        <v>0</v>
      </c>
      <c r="N131" s="83">
        <f t="shared" si="6"/>
        <v>0</v>
      </c>
      <c r="O131" s="91" t="b">
        <f t="shared" si="7"/>
        <v>0</v>
      </c>
    </row>
    <row r="132" spans="1:17" x14ac:dyDescent="0.35">
      <c r="A132" s="46"/>
      <c r="B132" s="47"/>
      <c r="C132" s="47"/>
      <c r="D132" s="47"/>
      <c r="E132" s="47"/>
      <c r="F132" s="47"/>
      <c r="G132" s="47"/>
      <c r="P132" s="85"/>
      <c r="Q132" s="85"/>
    </row>
    <row r="133" spans="1:17" x14ac:dyDescent="0.35">
      <c r="P133" s="85"/>
      <c r="Q133" s="85"/>
    </row>
    <row r="134" spans="1:17" x14ac:dyDescent="0.35">
      <c r="P134" s="85"/>
      <c r="Q134" s="85"/>
    </row>
    <row r="135" spans="1:17" x14ac:dyDescent="0.35">
      <c r="P135" s="85"/>
      <c r="Q135" s="85"/>
    </row>
    <row r="136" spans="1:17" x14ac:dyDescent="0.35">
      <c r="P136" s="85"/>
      <c r="Q136" s="85"/>
    </row>
    <row r="137" spans="1:17" x14ac:dyDescent="0.35">
      <c r="P137" s="85"/>
      <c r="Q137" s="85"/>
    </row>
    <row r="138" spans="1:17" x14ac:dyDescent="0.35">
      <c r="P138" s="85"/>
      <c r="Q138" s="85"/>
    </row>
  </sheetData>
  <autoFilter ref="E1:E132" xr:uid="{00000000-0009-0000-0000-000001000000}"/>
  <mergeCells count="3">
    <mergeCell ref="A1:B1"/>
    <mergeCell ref="A107:C107"/>
    <mergeCell ref="J108:N108"/>
  </mergeCells>
  <conditionalFormatting sqref="E2:F106">
    <cfRule type="cellIs" dxfId="18" priority="6" operator="greaterThan">
      <formula>0</formula>
    </cfRule>
  </conditionalFormatting>
  <conditionalFormatting sqref="N110:N131">
    <cfRule type="cellIs" dxfId="17" priority="2" operator="lessThan">
      <formula>0</formula>
    </cfRule>
  </conditionalFormatting>
  <conditionalFormatting sqref="O110:O131">
    <cfRule type="cellIs" dxfId="16" priority="1" operator="equal">
      <formula>FALSE</formula>
    </cfRule>
  </conditionalFormatting>
  <pageMargins left="0.70866141732283472" right="0.70866141732283472" top="0.74803149606299213" bottom="0.74803149606299213" header="0.31496062992125984" footer="0.31496062992125984"/>
  <pageSetup paperSize="9"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"/>
  <dimension ref="A2:X183"/>
  <sheetViews>
    <sheetView tabSelected="1" topLeftCell="A75" zoomScale="55" zoomScaleNormal="55" workbookViewId="0">
      <selection activeCell="A81" sqref="A81"/>
    </sheetView>
  </sheetViews>
  <sheetFormatPr defaultRowHeight="15" x14ac:dyDescent="0.25"/>
  <cols>
    <col min="1" max="1" width="7.42578125" customWidth="1"/>
    <col min="2" max="2" width="8.140625" customWidth="1"/>
    <col min="3" max="3" width="12.140625" customWidth="1"/>
    <col min="4" max="4" width="15" customWidth="1"/>
    <col min="5" max="5" width="15.28515625" customWidth="1"/>
    <col min="6" max="7" width="15.28515625" hidden="1" customWidth="1"/>
    <col min="8" max="9" width="15.28515625" customWidth="1"/>
    <col min="10" max="10" width="40.42578125" customWidth="1"/>
    <col min="11" max="11" width="40.42578125" style="86" customWidth="1"/>
    <col min="12" max="12" width="46.42578125" customWidth="1"/>
    <col min="13" max="13" width="18.7109375" style="1" customWidth="1"/>
    <col min="14" max="14" width="21" customWidth="1"/>
    <col min="15" max="15" width="31.140625" customWidth="1"/>
    <col min="16" max="16" width="13.85546875" customWidth="1"/>
    <col min="17" max="17" width="18" style="9" customWidth="1"/>
    <col min="18" max="18" width="14.5703125" customWidth="1"/>
    <col min="19" max="19" width="24.42578125" customWidth="1"/>
    <col min="20" max="20" width="20.140625" customWidth="1"/>
    <col min="21" max="21" width="21.28515625" hidden="1" customWidth="1"/>
    <col min="22" max="22" width="18.85546875" bestFit="1" customWidth="1"/>
    <col min="23" max="23" width="12.7109375" bestFit="1" customWidth="1"/>
    <col min="24" max="24" width="13.85546875" bestFit="1" customWidth="1"/>
  </cols>
  <sheetData>
    <row r="2" spans="1:24" ht="33" customHeight="1" x14ac:dyDescent="0.25"/>
    <row r="3" spans="1:24" ht="46.5" customHeight="1" x14ac:dyDescent="0.25">
      <c r="A3" s="2" t="s">
        <v>9</v>
      </c>
      <c r="B3" s="2" t="s">
        <v>12</v>
      </c>
      <c r="C3" s="2" t="s">
        <v>13</v>
      </c>
      <c r="D3" s="2" t="s">
        <v>11</v>
      </c>
      <c r="E3" s="2" t="s">
        <v>10</v>
      </c>
      <c r="F3" s="2" t="s">
        <v>35</v>
      </c>
      <c r="G3" s="2" t="s">
        <v>34</v>
      </c>
      <c r="H3" s="2" t="s">
        <v>62</v>
      </c>
      <c r="I3" s="2" t="s">
        <v>63</v>
      </c>
      <c r="J3" s="2" t="s">
        <v>15</v>
      </c>
      <c r="K3" s="87" t="s">
        <v>64</v>
      </c>
      <c r="L3" s="2" t="s">
        <v>1</v>
      </c>
      <c r="M3" s="2" t="s">
        <v>0</v>
      </c>
      <c r="N3" s="2" t="s">
        <v>2</v>
      </c>
      <c r="O3" s="2" t="s">
        <v>19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</row>
    <row r="4" spans="1:24" ht="15" customHeight="1" x14ac:dyDescent="0.25">
      <c r="A4" s="116" t="s">
        <v>14</v>
      </c>
      <c r="B4" s="2"/>
      <c r="C4" s="2"/>
      <c r="D4" s="2"/>
      <c r="E4" s="2"/>
      <c r="F4" s="2"/>
      <c r="G4" s="2"/>
      <c r="H4" s="2"/>
      <c r="I4" s="2"/>
      <c r="J4" s="2"/>
      <c r="K4" s="87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1</v>
      </c>
      <c r="W4" s="2" t="s">
        <v>63</v>
      </c>
      <c r="X4" s="2" t="s">
        <v>62</v>
      </c>
    </row>
    <row r="5" spans="1:24" x14ac:dyDescent="0.25">
      <c r="A5" s="117"/>
      <c r="B5" s="2">
        <f>B4+1</f>
        <v>1</v>
      </c>
      <c r="C5" s="2"/>
      <c r="D5" s="2"/>
      <c r="E5" s="2"/>
      <c r="F5" s="2"/>
      <c r="G5" s="2"/>
      <c r="H5" s="2"/>
      <c r="I5" s="2"/>
      <c r="J5" s="2"/>
      <c r="K5" s="87"/>
      <c r="L5" s="2"/>
      <c r="M5" s="2"/>
      <c r="N5" s="2"/>
      <c r="O5" s="2"/>
      <c r="P5" s="2"/>
      <c r="Q5" s="2"/>
      <c r="R5" s="2"/>
      <c r="S5" s="2"/>
      <c r="T5" s="2"/>
      <c r="U5" s="2"/>
      <c r="V5" s="84"/>
      <c r="W5" s="84"/>
      <c r="X5" s="84"/>
    </row>
    <row r="6" spans="1:24" x14ac:dyDescent="0.25">
      <c r="A6" s="117"/>
      <c r="B6" s="2">
        <f t="shared" ref="B6:B69" si="0">B5+1</f>
        <v>2</v>
      </c>
      <c r="C6" s="2"/>
      <c r="D6" s="2"/>
      <c r="E6" s="2"/>
      <c r="F6" s="2"/>
      <c r="G6" s="2"/>
      <c r="H6" s="2"/>
      <c r="I6" s="2"/>
      <c r="J6" s="2"/>
      <c r="K6" s="87"/>
      <c r="L6" s="2"/>
      <c r="M6" s="2"/>
      <c r="N6" s="2"/>
      <c r="O6" s="2"/>
      <c r="P6" s="2"/>
      <c r="Q6" s="2"/>
      <c r="R6" s="2"/>
      <c r="S6" s="2"/>
      <c r="T6" s="2"/>
      <c r="U6" s="2"/>
      <c r="V6" s="84"/>
      <c r="W6" s="84"/>
      <c r="X6" s="84"/>
    </row>
    <row r="7" spans="1:24" x14ac:dyDescent="0.25">
      <c r="A7" s="117"/>
      <c r="B7" s="2">
        <f t="shared" si="0"/>
        <v>3</v>
      </c>
      <c r="C7" s="2"/>
      <c r="D7" s="2"/>
      <c r="E7" s="2"/>
      <c r="F7" s="2"/>
      <c r="G7" s="2"/>
      <c r="H7" s="2"/>
      <c r="I7" s="2"/>
      <c r="J7" s="2"/>
      <c r="K7" s="87"/>
      <c r="L7" s="2"/>
      <c r="M7" s="2"/>
      <c r="N7" s="2"/>
      <c r="O7" s="2"/>
      <c r="P7" s="2"/>
      <c r="Q7" s="2"/>
      <c r="R7" s="2"/>
      <c r="S7" s="2"/>
      <c r="T7" s="2"/>
      <c r="U7" s="2"/>
      <c r="V7" s="84"/>
      <c r="W7" s="84"/>
      <c r="X7" s="84"/>
    </row>
    <row r="8" spans="1:24" x14ac:dyDescent="0.25">
      <c r="A8" s="117"/>
      <c r="B8" s="2">
        <f t="shared" si="0"/>
        <v>4</v>
      </c>
      <c r="C8" s="2"/>
      <c r="D8" s="2"/>
      <c r="E8" s="2"/>
      <c r="F8" s="2"/>
      <c r="G8" s="2"/>
      <c r="H8" s="2"/>
      <c r="I8" s="2"/>
      <c r="J8" s="2"/>
      <c r="K8" s="87"/>
      <c r="L8" s="2"/>
      <c r="M8" s="2"/>
      <c r="N8" s="2"/>
      <c r="O8" s="2"/>
      <c r="P8" s="2"/>
      <c r="Q8" s="2"/>
      <c r="R8" s="2"/>
      <c r="S8" s="2"/>
      <c r="T8" s="2"/>
      <c r="U8" s="2"/>
      <c r="V8" s="84"/>
      <c r="W8" s="84"/>
      <c r="X8" s="84"/>
    </row>
    <row r="9" spans="1:24" x14ac:dyDescent="0.25">
      <c r="A9" s="117"/>
      <c r="B9" s="2">
        <f t="shared" si="0"/>
        <v>5</v>
      </c>
      <c r="C9" s="2"/>
      <c r="D9" s="2"/>
      <c r="E9" s="2"/>
      <c r="F9" s="2"/>
      <c r="G9" s="2"/>
      <c r="H9" s="2"/>
      <c r="I9" s="2"/>
      <c r="J9" s="2"/>
      <c r="K9" s="87"/>
      <c r="L9" s="2"/>
      <c r="M9" s="2"/>
      <c r="N9" s="2"/>
      <c r="O9" s="2"/>
      <c r="P9" s="2"/>
      <c r="Q9" s="2"/>
      <c r="R9" s="2"/>
      <c r="S9" s="2"/>
      <c r="T9" s="2"/>
      <c r="U9" s="2"/>
      <c r="V9" s="84"/>
      <c r="W9" s="84"/>
      <c r="X9" s="84"/>
    </row>
    <row r="10" spans="1:24" x14ac:dyDescent="0.25">
      <c r="A10" s="117"/>
      <c r="B10" s="2">
        <f t="shared" si="0"/>
        <v>6</v>
      </c>
      <c r="C10" s="2"/>
      <c r="D10" s="2"/>
      <c r="E10" s="2"/>
      <c r="F10" s="2"/>
      <c r="G10" s="2"/>
      <c r="H10" s="2"/>
      <c r="I10" s="2"/>
      <c r="J10" s="2"/>
      <c r="K10" s="87"/>
      <c r="L10" s="2"/>
      <c r="M10" s="2"/>
      <c r="N10" s="2"/>
      <c r="O10" s="2"/>
      <c r="P10" s="2"/>
      <c r="Q10" s="2"/>
      <c r="R10" s="2"/>
      <c r="S10" s="2"/>
      <c r="T10" s="2"/>
      <c r="U10" s="2"/>
      <c r="V10" s="84"/>
      <c r="W10" s="84"/>
      <c r="X10" s="84"/>
    </row>
    <row r="11" spans="1:24" x14ac:dyDescent="0.25">
      <c r="A11" s="117"/>
      <c r="B11" s="2">
        <f t="shared" si="0"/>
        <v>7</v>
      </c>
      <c r="C11" s="2"/>
      <c r="D11" s="2"/>
      <c r="E11" s="2"/>
      <c r="F11" s="2"/>
      <c r="G11" s="2"/>
      <c r="H11" s="2"/>
      <c r="I11" s="2"/>
      <c r="J11" s="2"/>
      <c r="K11" s="87"/>
      <c r="L11" s="2"/>
      <c r="M11" s="2"/>
      <c r="N11" s="2"/>
      <c r="O11" s="2"/>
      <c r="P11" s="2"/>
      <c r="Q11" s="2"/>
      <c r="R11" s="2"/>
      <c r="S11" s="2"/>
      <c r="T11" s="2"/>
      <c r="U11" s="2"/>
      <c r="V11" s="84"/>
      <c r="W11" s="84"/>
      <c r="X11" s="84"/>
    </row>
    <row r="12" spans="1:24" x14ac:dyDescent="0.25">
      <c r="A12" s="117"/>
      <c r="B12" s="2">
        <f t="shared" si="0"/>
        <v>8</v>
      </c>
      <c r="C12" s="2"/>
      <c r="D12" s="2"/>
      <c r="E12" s="2"/>
      <c r="F12" s="2"/>
      <c r="G12" s="2"/>
      <c r="H12" s="2"/>
      <c r="I12" s="2"/>
      <c r="J12" s="2"/>
      <c r="K12" s="87"/>
      <c r="L12" s="2"/>
      <c r="M12" s="2"/>
      <c r="N12" s="2"/>
      <c r="O12" s="2"/>
      <c r="P12" s="2"/>
      <c r="Q12" s="2"/>
      <c r="R12" s="2"/>
      <c r="S12" s="2"/>
      <c r="T12" s="2"/>
      <c r="U12" s="2"/>
      <c r="V12" s="84"/>
      <c r="W12" s="84"/>
      <c r="X12" s="84"/>
    </row>
    <row r="13" spans="1:24" x14ac:dyDescent="0.25">
      <c r="A13" s="117"/>
      <c r="B13" s="2">
        <f t="shared" si="0"/>
        <v>9</v>
      </c>
      <c r="C13" s="2"/>
      <c r="D13" s="2"/>
      <c r="E13" s="2"/>
      <c r="F13" s="2"/>
      <c r="G13" s="2"/>
      <c r="H13" s="2"/>
      <c r="I13" s="2"/>
      <c r="J13" s="2"/>
      <c r="K13" s="87"/>
      <c r="L13" s="2"/>
      <c r="M13" s="2"/>
      <c r="N13" s="2"/>
      <c r="O13" s="2"/>
      <c r="P13" s="2"/>
      <c r="Q13" s="2"/>
      <c r="R13" s="2"/>
      <c r="S13" s="2"/>
      <c r="T13" s="2"/>
      <c r="U13" s="2"/>
      <c r="V13" s="84"/>
      <c r="W13" s="84"/>
      <c r="X13" s="84"/>
    </row>
    <row r="14" spans="1:24" x14ac:dyDescent="0.25">
      <c r="A14" s="33"/>
      <c r="B14" s="2">
        <f t="shared" si="0"/>
        <v>10</v>
      </c>
      <c r="C14" s="2"/>
      <c r="D14" s="2"/>
      <c r="E14" s="2"/>
      <c r="F14" s="2"/>
      <c r="G14" s="2"/>
      <c r="H14" s="2"/>
      <c r="I14" s="2"/>
      <c r="J14" s="2"/>
      <c r="K14" s="87"/>
      <c r="L14" s="2"/>
      <c r="M14" s="2"/>
      <c r="N14" s="2"/>
      <c r="O14" s="2"/>
      <c r="P14" s="2"/>
      <c r="Q14" s="2"/>
      <c r="R14" s="2"/>
      <c r="S14" s="2"/>
      <c r="T14" s="2"/>
      <c r="U14" s="2"/>
      <c r="V14" s="84"/>
      <c r="W14" s="84"/>
      <c r="X14" s="84"/>
    </row>
    <row r="15" spans="1:24" x14ac:dyDescent="0.25">
      <c r="A15" s="33"/>
      <c r="B15" s="2">
        <f t="shared" si="0"/>
        <v>11</v>
      </c>
      <c r="C15" s="2"/>
      <c r="D15" s="2"/>
      <c r="E15" s="2"/>
      <c r="F15" s="2"/>
      <c r="G15" s="2"/>
      <c r="H15" s="2"/>
      <c r="I15" s="2"/>
      <c r="J15" s="2"/>
      <c r="K15" s="87"/>
      <c r="L15" s="2"/>
      <c r="M15" s="2"/>
      <c r="N15" s="2"/>
      <c r="O15" s="2"/>
      <c r="P15" s="2"/>
      <c r="Q15" s="2"/>
      <c r="R15" s="2"/>
      <c r="S15" s="2"/>
      <c r="T15" s="2"/>
      <c r="U15" s="2"/>
      <c r="V15" s="84"/>
      <c r="W15" s="84"/>
      <c r="X15" s="84"/>
    </row>
    <row r="16" spans="1:24" x14ac:dyDescent="0.25">
      <c r="A16" s="33"/>
      <c r="B16" s="2">
        <f t="shared" si="0"/>
        <v>12</v>
      </c>
      <c r="C16" s="2"/>
      <c r="D16" s="2"/>
      <c r="E16" s="2"/>
      <c r="F16" s="2"/>
      <c r="G16" s="2"/>
      <c r="H16" s="2"/>
      <c r="I16" s="2"/>
      <c r="J16" s="2"/>
      <c r="K16" s="87"/>
      <c r="L16" s="2"/>
      <c r="M16" s="2"/>
      <c r="N16" s="2"/>
      <c r="O16" s="2"/>
      <c r="P16" s="2"/>
      <c r="Q16" s="2"/>
      <c r="R16" s="2"/>
      <c r="S16" s="2"/>
      <c r="T16" s="2"/>
      <c r="U16" s="2"/>
      <c r="V16" s="84"/>
      <c r="W16" s="84"/>
      <c r="X16" s="84"/>
    </row>
    <row r="17" spans="1:24" x14ac:dyDescent="0.25">
      <c r="A17" s="33"/>
      <c r="B17" s="2">
        <f t="shared" si="0"/>
        <v>13</v>
      </c>
      <c r="C17" s="2"/>
      <c r="D17" s="2"/>
      <c r="E17" s="2"/>
      <c r="F17" s="2"/>
      <c r="G17" s="2"/>
      <c r="H17" s="2"/>
      <c r="I17" s="2"/>
      <c r="J17" s="2"/>
      <c r="K17" s="87"/>
      <c r="L17" s="2"/>
      <c r="M17" s="2"/>
      <c r="N17" s="2"/>
      <c r="O17" s="2"/>
      <c r="P17" s="2"/>
      <c r="Q17" s="2"/>
      <c r="R17" s="2"/>
      <c r="S17" s="2"/>
      <c r="T17" s="2"/>
      <c r="U17" s="2"/>
      <c r="V17" s="84"/>
      <c r="W17" s="84"/>
      <c r="X17" s="84"/>
    </row>
    <row r="18" spans="1:24" x14ac:dyDescent="0.25">
      <c r="A18" s="33"/>
      <c r="B18" s="2">
        <f t="shared" si="0"/>
        <v>14</v>
      </c>
      <c r="C18" s="2"/>
      <c r="D18" s="2"/>
      <c r="E18" s="2"/>
      <c r="F18" s="2"/>
      <c r="G18" s="2"/>
      <c r="H18" s="2"/>
      <c r="I18" s="2"/>
      <c r="J18" s="2"/>
      <c r="K18" s="87"/>
      <c r="L18" s="2"/>
      <c r="M18" s="2"/>
      <c r="N18" s="2"/>
      <c r="O18" s="2"/>
      <c r="P18" s="2"/>
      <c r="Q18" s="2"/>
      <c r="R18" s="2"/>
      <c r="S18" s="2"/>
      <c r="T18" s="2"/>
      <c r="U18" s="2"/>
      <c r="V18" s="84"/>
      <c r="W18" s="84"/>
      <c r="X18" s="84"/>
    </row>
    <row r="19" spans="1:24" x14ac:dyDescent="0.25">
      <c r="A19" s="33"/>
      <c r="B19" s="2">
        <f t="shared" si="0"/>
        <v>15</v>
      </c>
      <c r="C19" s="2"/>
      <c r="D19" s="2"/>
      <c r="E19" s="2"/>
      <c r="F19" s="2"/>
      <c r="G19" s="2"/>
      <c r="H19" s="2"/>
      <c r="I19" s="2"/>
      <c r="J19" s="2"/>
      <c r="K19" s="87"/>
      <c r="L19" s="2"/>
      <c r="M19" s="2"/>
      <c r="N19" s="2"/>
      <c r="O19" s="2"/>
      <c r="P19" s="2"/>
      <c r="Q19" s="2"/>
      <c r="R19" s="2"/>
      <c r="S19" s="2"/>
      <c r="T19" s="2"/>
      <c r="U19" s="2"/>
      <c r="V19" s="84"/>
      <c r="W19" s="84"/>
      <c r="X19" s="84"/>
    </row>
    <row r="20" spans="1:24" x14ac:dyDescent="0.25">
      <c r="A20" s="33"/>
      <c r="B20" s="2">
        <f t="shared" si="0"/>
        <v>16</v>
      </c>
      <c r="C20" s="2"/>
      <c r="D20" s="2"/>
      <c r="E20" s="2"/>
      <c r="F20" s="2"/>
      <c r="G20" s="2"/>
      <c r="H20" s="2"/>
      <c r="I20" s="2"/>
      <c r="J20" s="2"/>
      <c r="K20" s="87"/>
      <c r="L20" s="2"/>
      <c r="M20" s="2"/>
      <c r="N20" s="2"/>
      <c r="O20" s="2"/>
      <c r="P20" s="2"/>
      <c r="Q20" s="2"/>
      <c r="R20" s="2"/>
      <c r="S20" s="2"/>
      <c r="T20" s="2"/>
      <c r="U20" s="2"/>
      <c r="V20" s="84"/>
      <c r="W20" s="84"/>
      <c r="X20" s="84"/>
    </row>
    <row r="21" spans="1:24" x14ac:dyDescent="0.25">
      <c r="A21" s="33"/>
      <c r="B21" s="2">
        <f t="shared" si="0"/>
        <v>17</v>
      </c>
      <c r="C21" s="2"/>
      <c r="D21" s="2"/>
      <c r="E21" s="2"/>
      <c r="F21" s="2"/>
      <c r="G21" s="2"/>
      <c r="H21" s="2"/>
      <c r="I21" s="2"/>
      <c r="J21" s="2"/>
      <c r="K21" s="87"/>
      <c r="L21" s="2"/>
      <c r="M21" s="2"/>
      <c r="N21" s="2"/>
      <c r="O21" s="2"/>
      <c r="P21" s="2"/>
      <c r="Q21" s="2"/>
      <c r="R21" s="2"/>
      <c r="S21" s="2"/>
      <c r="T21" s="2"/>
      <c r="U21" s="2"/>
      <c r="V21" s="84"/>
      <c r="W21" s="84"/>
      <c r="X21" s="84"/>
    </row>
    <row r="22" spans="1:24" x14ac:dyDescent="0.25">
      <c r="A22" s="33"/>
      <c r="B22" s="2">
        <f t="shared" si="0"/>
        <v>18</v>
      </c>
      <c r="C22" s="2"/>
      <c r="D22" s="2"/>
      <c r="E22" s="2"/>
      <c r="F22" s="2"/>
      <c r="G22" s="2"/>
      <c r="H22" s="2"/>
      <c r="I22" s="2"/>
      <c r="J22" s="2"/>
      <c r="K22" s="87"/>
      <c r="L22" s="2"/>
      <c r="M22" s="2"/>
      <c r="N22" s="2"/>
      <c r="O22" s="2"/>
      <c r="P22" s="2"/>
      <c r="Q22" s="2"/>
      <c r="R22" s="2"/>
      <c r="S22" s="2"/>
      <c r="T22" s="2"/>
      <c r="U22" s="2"/>
      <c r="V22" s="84"/>
      <c r="W22" s="84"/>
      <c r="X22" s="84"/>
    </row>
    <row r="23" spans="1:24" x14ac:dyDescent="0.25">
      <c r="A23" s="33"/>
      <c r="B23" s="2">
        <f t="shared" si="0"/>
        <v>19</v>
      </c>
      <c r="C23" s="2"/>
      <c r="D23" s="2"/>
      <c r="E23" s="2"/>
      <c r="F23" s="2"/>
      <c r="G23" s="2"/>
      <c r="H23" s="2"/>
      <c r="I23" s="2"/>
      <c r="J23" s="2"/>
      <c r="K23" s="87"/>
      <c r="L23" s="2"/>
      <c r="M23" s="2"/>
      <c r="N23" s="2"/>
      <c r="O23" s="2"/>
      <c r="P23" s="2"/>
      <c r="Q23" s="2"/>
      <c r="R23" s="2"/>
      <c r="S23" s="2"/>
      <c r="T23" s="2"/>
      <c r="U23" s="2"/>
      <c r="V23" s="84"/>
      <c r="W23" s="84"/>
      <c r="X23" s="84"/>
    </row>
    <row r="24" spans="1:24" x14ac:dyDescent="0.25">
      <c r="A24" s="33"/>
      <c r="B24" s="2">
        <f t="shared" si="0"/>
        <v>20</v>
      </c>
      <c r="C24" s="2"/>
      <c r="D24" s="2"/>
      <c r="E24" s="2"/>
      <c r="F24" s="2"/>
      <c r="G24" s="2"/>
      <c r="H24" s="2"/>
      <c r="I24" s="2"/>
      <c r="J24" s="2"/>
      <c r="K24" s="87"/>
      <c r="L24" s="2"/>
      <c r="M24" s="2"/>
      <c r="N24" s="2"/>
      <c r="O24" s="2"/>
      <c r="P24" s="2"/>
      <c r="Q24" s="2"/>
      <c r="R24" s="2"/>
      <c r="S24" s="2"/>
      <c r="T24" s="2"/>
      <c r="U24" s="2"/>
      <c r="V24" s="84"/>
      <c r="W24" s="84"/>
      <c r="X24" s="84"/>
    </row>
    <row r="25" spans="1:24" x14ac:dyDescent="0.25">
      <c r="A25" s="33"/>
      <c r="B25" s="2">
        <f t="shared" si="0"/>
        <v>21</v>
      </c>
      <c r="C25" s="2"/>
      <c r="D25" s="2"/>
      <c r="E25" s="2"/>
      <c r="F25" s="2"/>
      <c r="G25" s="2"/>
      <c r="H25" s="2"/>
      <c r="I25" s="2"/>
      <c r="J25" s="2"/>
      <c r="K25" s="87"/>
      <c r="L25" s="2"/>
      <c r="M25" s="2"/>
      <c r="N25" s="2"/>
      <c r="O25" s="2"/>
      <c r="P25" s="2"/>
      <c r="Q25" s="2"/>
      <c r="R25" s="2"/>
      <c r="S25" s="2"/>
      <c r="T25" s="2"/>
      <c r="U25" s="2"/>
      <c r="V25" s="84"/>
      <c r="W25" s="84"/>
      <c r="X25" s="84"/>
    </row>
    <row r="26" spans="1:24" x14ac:dyDescent="0.25">
      <c r="A26" s="33"/>
      <c r="B26" s="2">
        <f t="shared" si="0"/>
        <v>22</v>
      </c>
      <c r="C26" s="2"/>
      <c r="D26" s="2"/>
      <c r="E26" s="2"/>
      <c r="F26" s="2"/>
      <c r="G26" s="2"/>
      <c r="H26" s="2"/>
      <c r="I26" s="2"/>
      <c r="J26" s="2"/>
      <c r="K26" s="87"/>
      <c r="L26" s="2"/>
      <c r="M26" s="2"/>
      <c r="N26" s="2"/>
      <c r="O26" s="2"/>
      <c r="P26" s="2"/>
      <c r="Q26" s="2"/>
      <c r="R26" s="2"/>
      <c r="S26" s="2"/>
      <c r="T26" s="2"/>
      <c r="U26" s="2"/>
      <c r="V26" s="84"/>
      <c r="W26" s="84"/>
      <c r="X26" s="84"/>
    </row>
    <row r="27" spans="1:24" x14ac:dyDescent="0.25">
      <c r="A27" s="33"/>
      <c r="B27" s="2">
        <f t="shared" si="0"/>
        <v>23</v>
      </c>
      <c r="C27" s="2"/>
      <c r="D27" s="2"/>
      <c r="E27" s="2"/>
      <c r="F27" s="2"/>
      <c r="G27" s="2"/>
      <c r="H27" s="2"/>
      <c r="I27" s="2"/>
      <c r="J27" s="2"/>
      <c r="K27" s="87"/>
      <c r="L27" s="2"/>
      <c r="M27" s="2"/>
      <c r="N27" s="2"/>
      <c r="O27" s="2"/>
      <c r="P27" s="2"/>
      <c r="Q27" s="2"/>
      <c r="R27" s="2"/>
      <c r="S27" s="2"/>
      <c r="T27" s="2"/>
      <c r="U27" s="2"/>
      <c r="V27" s="84"/>
      <c r="W27" s="84"/>
      <c r="X27" s="84"/>
    </row>
    <row r="28" spans="1:24" x14ac:dyDescent="0.25">
      <c r="A28" s="33"/>
      <c r="B28" s="2">
        <f t="shared" si="0"/>
        <v>24</v>
      </c>
      <c r="C28" s="2"/>
      <c r="D28" s="2"/>
      <c r="E28" s="2"/>
      <c r="F28" s="2"/>
      <c r="G28" s="2"/>
      <c r="H28" s="2"/>
      <c r="I28" s="2"/>
      <c r="J28" s="2"/>
      <c r="K28" s="87"/>
      <c r="L28" s="2"/>
      <c r="M28" s="2"/>
      <c r="N28" s="2"/>
      <c r="O28" s="2"/>
      <c r="P28" s="2"/>
      <c r="Q28" s="2"/>
      <c r="R28" s="2"/>
      <c r="S28" s="2"/>
      <c r="T28" s="2"/>
      <c r="U28" s="2"/>
      <c r="V28" s="84"/>
      <c r="W28" s="84"/>
      <c r="X28" s="84"/>
    </row>
    <row r="29" spans="1:24" x14ac:dyDescent="0.25">
      <c r="A29" s="33"/>
      <c r="B29" s="2">
        <f t="shared" si="0"/>
        <v>25</v>
      </c>
      <c r="C29" s="2"/>
      <c r="D29" s="2"/>
      <c r="E29" s="2"/>
      <c r="F29" s="2"/>
      <c r="G29" s="2"/>
      <c r="H29" s="2"/>
      <c r="I29" s="2"/>
      <c r="J29" s="2"/>
      <c r="K29" s="87"/>
      <c r="L29" s="2"/>
      <c r="M29" s="2"/>
      <c r="N29" s="2"/>
      <c r="O29" s="2"/>
      <c r="P29" s="2"/>
      <c r="Q29" s="2"/>
      <c r="R29" s="2"/>
      <c r="S29" s="2"/>
      <c r="T29" s="2"/>
      <c r="U29" s="2"/>
      <c r="V29" s="84"/>
      <c r="W29" s="84"/>
      <c r="X29" s="84"/>
    </row>
    <row r="30" spans="1:24" x14ac:dyDescent="0.25">
      <c r="A30" s="33"/>
      <c r="B30" s="2">
        <f t="shared" si="0"/>
        <v>26</v>
      </c>
      <c r="C30" s="2"/>
      <c r="D30" s="2"/>
      <c r="E30" s="2"/>
      <c r="F30" s="2"/>
      <c r="G30" s="2"/>
      <c r="H30" s="2"/>
      <c r="I30" s="2"/>
      <c r="J30" s="2"/>
      <c r="K30" s="87"/>
      <c r="L30" s="2"/>
      <c r="M30" s="2"/>
      <c r="N30" s="2"/>
      <c r="O30" s="2"/>
      <c r="P30" s="2"/>
      <c r="Q30" s="2"/>
      <c r="R30" s="2"/>
      <c r="S30" s="2"/>
      <c r="T30" s="2"/>
      <c r="U30" s="2"/>
      <c r="V30" s="84"/>
      <c r="W30" s="84"/>
      <c r="X30" s="84"/>
    </row>
    <row r="31" spans="1:24" x14ac:dyDescent="0.25">
      <c r="A31" s="33"/>
      <c r="B31" s="2">
        <f t="shared" si="0"/>
        <v>27</v>
      </c>
      <c r="C31" s="2"/>
      <c r="D31" s="2"/>
      <c r="E31" s="2"/>
      <c r="F31" s="2"/>
      <c r="G31" s="2"/>
      <c r="H31" s="2"/>
      <c r="I31" s="2"/>
      <c r="J31" s="2"/>
      <c r="K31" s="87"/>
      <c r="L31" s="2"/>
      <c r="M31" s="2"/>
      <c r="N31" s="2"/>
      <c r="O31" s="2"/>
      <c r="P31" s="2"/>
      <c r="Q31" s="2"/>
      <c r="R31" s="2"/>
      <c r="S31" s="2"/>
      <c r="T31" s="2"/>
      <c r="U31" s="2"/>
      <c r="V31" s="84"/>
      <c r="W31" s="84"/>
      <c r="X31" s="84"/>
    </row>
    <row r="32" spans="1:24" x14ac:dyDescent="0.25">
      <c r="A32" s="33"/>
      <c r="B32" s="2">
        <f t="shared" si="0"/>
        <v>28</v>
      </c>
      <c r="C32" s="2"/>
      <c r="D32" s="2"/>
      <c r="E32" s="2"/>
      <c r="F32" s="2"/>
      <c r="G32" s="2"/>
      <c r="H32" s="2"/>
      <c r="I32" s="2"/>
      <c r="J32" s="2"/>
      <c r="K32" s="87"/>
      <c r="L32" s="2"/>
      <c r="M32" s="2"/>
      <c r="N32" s="2"/>
      <c r="O32" s="2"/>
      <c r="P32" s="2"/>
      <c r="Q32" s="2"/>
      <c r="R32" s="2"/>
      <c r="S32" s="2"/>
      <c r="T32" s="2"/>
      <c r="U32" s="2"/>
      <c r="V32" s="84"/>
      <c r="W32" s="84"/>
      <c r="X32" s="84"/>
    </row>
    <row r="33" spans="1:24" x14ac:dyDescent="0.25">
      <c r="A33" s="33"/>
      <c r="B33" s="2">
        <f t="shared" si="0"/>
        <v>29</v>
      </c>
      <c r="C33" s="2"/>
      <c r="D33" s="2"/>
      <c r="E33" s="2"/>
      <c r="F33" s="2"/>
      <c r="G33" s="2"/>
      <c r="H33" s="2"/>
      <c r="I33" s="2"/>
      <c r="J33" s="2"/>
      <c r="K33" s="87"/>
      <c r="L33" s="2"/>
      <c r="M33" s="2"/>
      <c r="N33" s="2"/>
      <c r="O33" s="2"/>
      <c r="P33" s="2"/>
      <c r="Q33" s="2"/>
      <c r="R33" s="2"/>
      <c r="S33" s="2"/>
      <c r="T33" s="2"/>
      <c r="U33" s="2"/>
      <c r="V33" s="84"/>
      <c r="W33" s="84"/>
      <c r="X33" s="84"/>
    </row>
    <row r="34" spans="1:24" x14ac:dyDescent="0.25">
      <c r="A34" s="33"/>
      <c r="B34" s="2">
        <f t="shared" si="0"/>
        <v>30</v>
      </c>
      <c r="C34" s="2"/>
      <c r="D34" s="2"/>
      <c r="E34" s="2"/>
      <c r="F34" s="2"/>
      <c r="G34" s="2"/>
      <c r="H34" s="2"/>
      <c r="I34" s="2"/>
      <c r="J34" s="2"/>
      <c r="K34" s="87"/>
      <c r="L34" s="2"/>
      <c r="M34" s="2"/>
      <c r="N34" s="2"/>
      <c r="O34" s="2"/>
      <c r="P34" s="2"/>
      <c r="Q34" s="2"/>
      <c r="R34" s="2"/>
      <c r="S34" s="2"/>
      <c r="T34" s="2"/>
      <c r="U34" s="2"/>
      <c r="V34" s="84"/>
      <c r="W34" s="84"/>
      <c r="X34" s="84"/>
    </row>
    <row r="35" spans="1:24" x14ac:dyDescent="0.25">
      <c r="A35" s="33"/>
      <c r="B35" s="2">
        <f t="shared" si="0"/>
        <v>31</v>
      </c>
      <c r="C35" s="2"/>
      <c r="D35" s="2"/>
      <c r="E35" s="2"/>
      <c r="F35" s="2"/>
      <c r="G35" s="2"/>
      <c r="H35" s="2"/>
      <c r="I35" s="2"/>
      <c r="J35" s="2"/>
      <c r="K35" s="87"/>
      <c r="L35" s="2"/>
      <c r="M35" s="2"/>
      <c r="N35" s="2"/>
      <c r="O35" s="2"/>
      <c r="P35" s="2"/>
      <c r="Q35" s="2"/>
      <c r="R35" s="2"/>
      <c r="S35" s="2"/>
      <c r="T35" s="2"/>
      <c r="U35" s="2"/>
      <c r="V35" s="84"/>
      <c r="W35" s="84"/>
      <c r="X35" s="84"/>
    </row>
    <row r="36" spans="1:24" x14ac:dyDescent="0.25">
      <c r="A36" s="33"/>
      <c r="B36" s="2">
        <f t="shared" si="0"/>
        <v>32</v>
      </c>
      <c r="C36" s="2"/>
      <c r="D36" s="2"/>
      <c r="E36" s="2"/>
      <c r="F36" s="2"/>
      <c r="G36" s="2"/>
      <c r="H36" s="2"/>
      <c r="I36" s="2"/>
      <c r="J36" s="2"/>
      <c r="K36" s="87"/>
      <c r="L36" s="2"/>
      <c r="M36" s="2"/>
      <c r="N36" s="2"/>
      <c r="O36" s="2"/>
      <c r="P36" s="2"/>
      <c r="Q36" s="2"/>
      <c r="R36" s="2"/>
      <c r="S36" s="2"/>
      <c r="T36" s="2"/>
      <c r="U36" s="2"/>
      <c r="V36" s="84"/>
      <c r="W36" s="84"/>
      <c r="X36" s="84"/>
    </row>
    <row r="37" spans="1:24" x14ac:dyDescent="0.25">
      <c r="A37" s="33"/>
      <c r="B37" s="2">
        <f t="shared" si="0"/>
        <v>33</v>
      </c>
      <c r="C37" s="2"/>
      <c r="D37" s="2"/>
      <c r="E37" s="2"/>
      <c r="F37" s="2"/>
      <c r="G37" s="2"/>
      <c r="H37" s="2"/>
      <c r="I37" s="2"/>
      <c r="J37" s="2"/>
      <c r="K37" s="87"/>
      <c r="L37" s="2"/>
      <c r="M37" s="2"/>
      <c r="N37" s="2"/>
      <c r="O37" s="2"/>
      <c r="P37" s="2"/>
      <c r="Q37" s="2"/>
      <c r="R37" s="2"/>
      <c r="S37" s="2"/>
      <c r="T37" s="2"/>
      <c r="U37" s="2"/>
      <c r="V37" s="84"/>
      <c r="W37" s="84"/>
      <c r="X37" s="84"/>
    </row>
    <row r="38" spans="1:24" x14ac:dyDescent="0.25">
      <c r="A38" s="33"/>
      <c r="B38" s="2">
        <f t="shared" si="0"/>
        <v>34</v>
      </c>
      <c r="C38" s="2"/>
      <c r="D38" s="2"/>
      <c r="E38" s="2"/>
      <c r="F38" s="2"/>
      <c r="G38" s="2"/>
      <c r="H38" s="2"/>
      <c r="I38" s="2"/>
      <c r="J38" s="2"/>
      <c r="K38" s="87"/>
      <c r="L38" s="2"/>
      <c r="M38" s="2"/>
      <c r="N38" s="2"/>
      <c r="O38" s="2"/>
      <c r="P38" s="2"/>
      <c r="Q38" s="2"/>
      <c r="R38" s="2"/>
      <c r="S38" s="2"/>
      <c r="T38" s="2"/>
      <c r="U38" s="2"/>
      <c r="V38" s="84"/>
      <c r="W38" s="84"/>
      <c r="X38" s="84"/>
    </row>
    <row r="39" spans="1:24" x14ac:dyDescent="0.25">
      <c r="A39" s="33"/>
      <c r="B39" s="2">
        <f t="shared" si="0"/>
        <v>35</v>
      </c>
      <c r="C39" s="2"/>
      <c r="D39" s="2"/>
      <c r="E39" s="2"/>
      <c r="F39" s="2"/>
      <c r="G39" s="2"/>
      <c r="H39" s="2"/>
      <c r="I39" s="2"/>
      <c r="J39" s="2"/>
      <c r="K39" s="87"/>
      <c r="L39" s="2"/>
      <c r="M39" s="2"/>
      <c r="N39" s="2"/>
      <c r="O39" s="2"/>
      <c r="P39" s="2"/>
      <c r="Q39" s="2"/>
      <c r="R39" s="2"/>
      <c r="S39" s="2"/>
      <c r="T39" s="2"/>
      <c r="U39" s="2"/>
      <c r="V39" s="84"/>
      <c r="W39" s="84"/>
      <c r="X39" s="84"/>
    </row>
    <row r="40" spans="1:24" x14ac:dyDescent="0.25">
      <c r="A40" s="33"/>
      <c r="B40" s="2">
        <f t="shared" si="0"/>
        <v>36</v>
      </c>
      <c r="C40" s="2"/>
      <c r="D40" s="2"/>
      <c r="E40" s="2"/>
      <c r="F40" s="2"/>
      <c r="G40" s="2"/>
      <c r="H40" s="2"/>
      <c r="I40" s="2"/>
      <c r="J40" s="2"/>
      <c r="K40" s="87"/>
      <c r="L40" s="2"/>
      <c r="M40" s="2"/>
      <c r="N40" s="2"/>
      <c r="O40" s="2"/>
      <c r="P40" s="2"/>
      <c r="Q40" s="2"/>
      <c r="R40" s="2"/>
      <c r="S40" s="2"/>
      <c r="T40" s="2"/>
      <c r="U40" s="2"/>
      <c r="V40" s="84"/>
      <c r="W40" s="84"/>
      <c r="X40" s="84"/>
    </row>
    <row r="41" spans="1:24" x14ac:dyDescent="0.25">
      <c r="A41" s="33"/>
      <c r="B41" s="2">
        <f t="shared" si="0"/>
        <v>37</v>
      </c>
      <c r="C41" s="2"/>
      <c r="D41" s="2"/>
      <c r="E41" s="2"/>
      <c r="F41" s="2"/>
      <c r="G41" s="2"/>
      <c r="H41" s="2"/>
      <c r="I41" s="2"/>
      <c r="J41" s="2"/>
      <c r="K41" s="87"/>
      <c r="L41" s="2"/>
      <c r="M41" s="2"/>
      <c r="N41" s="2"/>
      <c r="O41" s="2"/>
      <c r="P41" s="2"/>
      <c r="Q41" s="2"/>
      <c r="R41" s="2"/>
      <c r="S41" s="2"/>
      <c r="T41" s="2"/>
      <c r="U41" s="2"/>
      <c r="V41" s="84"/>
      <c r="W41" s="84"/>
      <c r="X41" s="84"/>
    </row>
    <row r="42" spans="1:24" x14ac:dyDescent="0.25">
      <c r="A42" s="33"/>
      <c r="B42" s="2">
        <f t="shared" si="0"/>
        <v>38</v>
      </c>
      <c r="C42" s="2"/>
      <c r="D42" s="2"/>
      <c r="E42" s="2"/>
      <c r="F42" s="2"/>
      <c r="G42" s="2"/>
      <c r="H42" s="2"/>
      <c r="I42" s="2"/>
      <c r="J42" s="2"/>
      <c r="K42" s="87"/>
      <c r="L42" s="2"/>
      <c r="M42" s="2"/>
      <c r="N42" s="2"/>
      <c r="O42" s="2"/>
      <c r="P42" s="2"/>
      <c r="Q42" s="2"/>
      <c r="R42" s="2"/>
      <c r="S42" s="2"/>
      <c r="T42" s="2"/>
      <c r="U42" s="2"/>
      <c r="V42" s="84"/>
      <c r="W42" s="84"/>
      <c r="X42" s="84"/>
    </row>
    <row r="43" spans="1:24" x14ac:dyDescent="0.25">
      <c r="A43" s="33"/>
      <c r="B43" s="2">
        <f t="shared" si="0"/>
        <v>39</v>
      </c>
      <c r="C43" s="2"/>
      <c r="D43" s="2"/>
      <c r="E43" s="2"/>
      <c r="F43" s="2"/>
      <c r="G43" s="2"/>
      <c r="H43" s="2"/>
      <c r="I43" s="2"/>
      <c r="J43" s="2"/>
      <c r="K43" s="87"/>
      <c r="L43" s="2"/>
      <c r="M43" s="2"/>
      <c r="N43" s="2"/>
      <c r="O43" s="2"/>
      <c r="P43" s="2"/>
      <c r="Q43" s="2"/>
      <c r="R43" s="2"/>
      <c r="S43" s="2"/>
      <c r="T43" s="2"/>
      <c r="U43" s="2"/>
      <c r="V43" s="84"/>
      <c r="W43" s="84"/>
      <c r="X43" s="84"/>
    </row>
    <row r="44" spans="1:24" x14ac:dyDescent="0.25">
      <c r="A44" s="33"/>
      <c r="B44" s="2">
        <f t="shared" si="0"/>
        <v>40</v>
      </c>
      <c r="C44" s="2"/>
      <c r="D44" s="2"/>
      <c r="E44" s="2"/>
      <c r="F44" s="2"/>
      <c r="G44" s="2"/>
      <c r="H44" s="2"/>
      <c r="I44" s="2"/>
      <c r="J44" s="2"/>
      <c r="K44" s="87"/>
      <c r="L44" s="2"/>
      <c r="M44" s="2"/>
      <c r="N44" s="2"/>
      <c r="O44" s="2"/>
      <c r="P44" s="2"/>
      <c r="Q44" s="2"/>
      <c r="R44" s="2"/>
      <c r="S44" s="2"/>
      <c r="T44" s="2"/>
      <c r="U44" s="2"/>
      <c r="V44" s="84"/>
      <c r="W44" s="84"/>
      <c r="X44" s="84"/>
    </row>
    <row r="45" spans="1:24" x14ac:dyDescent="0.25">
      <c r="A45" s="33"/>
      <c r="B45" s="2">
        <f t="shared" si="0"/>
        <v>41</v>
      </c>
      <c r="C45" s="2"/>
      <c r="D45" s="2"/>
      <c r="E45" s="2"/>
      <c r="F45" s="2"/>
      <c r="G45" s="2"/>
      <c r="H45" s="2"/>
      <c r="I45" s="2"/>
      <c r="J45" s="2"/>
      <c r="K45" s="87"/>
      <c r="L45" s="2"/>
      <c r="M45" s="2"/>
      <c r="N45" s="2"/>
      <c r="O45" s="2"/>
      <c r="P45" s="2"/>
      <c r="Q45" s="2"/>
      <c r="R45" s="2"/>
      <c r="S45" s="2"/>
      <c r="T45" s="2"/>
      <c r="U45" s="2"/>
      <c r="V45" s="84"/>
      <c r="W45" s="84"/>
      <c r="X45" s="84"/>
    </row>
    <row r="46" spans="1:24" x14ac:dyDescent="0.25">
      <c r="A46" s="33"/>
      <c r="B46" s="2">
        <f t="shared" si="0"/>
        <v>42</v>
      </c>
      <c r="C46" s="2"/>
      <c r="D46" s="2"/>
      <c r="E46" s="2"/>
      <c r="F46" s="2"/>
      <c r="G46" s="2"/>
      <c r="H46" s="2"/>
      <c r="I46" s="2"/>
      <c r="J46" s="2"/>
      <c r="K46" s="87"/>
      <c r="L46" s="2"/>
      <c r="M46" s="2"/>
      <c r="N46" s="2"/>
      <c r="O46" s="2"/>
      <c r="P46" s="2"/>
      <c r="Q46" s="2"/>
      <c r="R46" s="2"/>
      <c r="S46" s="2"/>
      <c r="T46" s="2"/>
      <c r="U46" s="2"/>
      <c r="V46" s="84"/>
      <c r="W46" s="84"/>
      <c r="X46" s="84"/>
    </row>
    <row r="47" spans="1:24" x14ac:dyDescent="0.25">
      <c r="A47" s="33"/>
      <c r="B47" s="2">
        <f t="shared" si="0"/>
        <v>43</v>
      </c>
      <c r="C47" s="2"/>
      <c r="D47" s="2"/>
      <c r="E47" s="2"/>
      <c r="F47" s="2"/>
      <c r="G47" s="2"/>
      <c r="H47" s="2"/>
      <c r="I47" s="2"/>
      <c r="J47" s="2"/>
      <c r="K47" s="87"/>
      <c r="L47" s="2"/>
      <c r="M47" s="2"/>
      <c r="N47" s="2"/>
      <c r="O47" s="2"/>
      <c r="P47" s="2"/>
      <c r="Q47" s="2"/>
      <c r="R47" s="2"/>
      <c r="S47" s="2"/>
      <c r="T47" s="2"/>
      <c r="U47" s="2"/>
      <c r="V47" s="84"/>
      <c r="W47" s="84"/>
      <c r="X47" s="84"/>
    </row>
    <row r="48" spans="1:24" x14ac:dyDescent="0.25">
      <c r="A48" s="33"/>
      <c r="B48" s="2">
        <f t="shared" si="0"/>
        <v>44</v>
      </c>
      <c r="C48" s="2"/>
      <c r="D48" s="2"/>
      <c r="E48" s="2"/>
      <c r="F48" s="2"/>
      <c r="G48" s="2"/>
      <c r="H48" s="2"/>
      <c r="I48" s="2"/>
      <c r="J48" s="2"/>
      <c r="K48" s="87"/>
      <c r="L48" s="2"/>
      <c r="M48" s="2"/>
      <c r="N48" s="2"/>
      <c r="O48" s="2"/>
      <c r="P48" s="2"/>
      <c r="Q48" s="2"/>
      <c r="R48" s="2"/>
      <c r="S48" s="2"/>
      <c r="T48" s="2"/>
      <c r="U48" s="2"/>
      <c r="V48" s="84"/>
      <c r="W48" s="84"/>
      <c r="X48" s="84"/>
    </row>
    <row r="49" spans="1:24" x14ac:dyDescent="0.25">
      <c r="A49" s="33"/>
      <c r="B49" s="2">
        <f t="shared" si="0"/>
        <v>45</v>
      </c>
      <c r="C49" s="2"/>
      <c r="D49" s="2"/>
      <c r="E49" s="2"/>
      <c r="F49" s="2"/>
      <c r="G49" s="2"/>
      <c r="H49" s="2"/>
      <c r="I49" s="2"/>
      <c r="J49" s="2"/>
      <c r="K49" s="87"/>
      <c r="L49" s="2"/>
      <c r="M49" s="2"/>
      <c r="N49" s="2"/>
      <c r="O49" s="2"/>
      <c r="P49" s="2"/>
      <c r="Q49" s="2"/>
      <c r="R49" s="2"/>
      <c r="S49" s="2"/>
      <c r="T49" s="2"/>
      <c r="U49" s="2"/>
      <c r="V49" s="84"/>
      <c r="W49" s="84"/>
      <c r="X49" s="84"/>
    </row>
    <row r="50" spans="1:24" x14ac:dyDescent="0.25">
      <c r="A50" s="33"/>
      <c r="B50" s="2">
        <f t="shared" si="0"/>
        <v>46</v>
      </c>
      <c r="C50" s="2"/>
      <c r="D50" s="2"/>
      <c r="E50" s="2"/>
      <c r="F50" s="2"/>
      <c r="G50" s="2"/>
      <c r="H50" s="2"/>
      <c r="I50" s="2"/>
      <c r="J50" s="2"/>
      <c r="K50" s="87"/>
      <c r="L50" s="2"/>
      <c r="M50" s="2"/>
      <c r="N50" s="2"/>
      <c r="O50" s="2"/>
      <c r="P50" s="2"/>
      <c r="Q50" s="2"/>
      <c r="R50" s="2"/>
      <c r="S50" s="2"/>
      <c r="T50" s="2"/>
      <c r="U50" s="2"/>
      <c r="V50" s="84"/>
      <c r="W50" s="84"/>
      <c r="X50" s="84"/>
    </row>
    <row r="51" spans="1:24" x14ac:dyDescent="0.25">
      <c r="A51" s="33"/>
      <c r="B51" s="2">
        <f t="shared" si="0"/>
        <v>47</v>
      </c>
      <c r="C51" s="2"/>
      <c r="D51" s="2"/>
      <c r="E51" s="2"/>
      <c r="F51" s="2"/>
      <c r="G51" s="2"/>
      <c r="H51" s="2"/>
      <c r="I51" s="2"/>
      <c r="J51" s="2"/>
      <c r="K51" s="87"/>
      <c r="L51" s="2"/>
      <c r="M51" s="2"/>
      <c r="N51" s="2"/>
      <c r="O51" s="2"/>
      <c r="P51" s="2"/>
      <c r="Q51" s="2"/>
      <c r="R51" s="2"/>
      <c r="S51" s="2"/>
      <c r="T51" s="2"/>
      <c r="U51" s="2"/>
      <c r="V51" s="84"/>
      <c r="W51" s="84"/>
      <c r="X51" s="84"/>
    </row>
    <row r="52" spans="1:24" x14ac:dyDescent="0.25">
      <c r="A52" s="33"/>
      <c r="B52" s="2">
        <f t="shared" si="0"/>
        <v>48</v>
      </c>
      <c r="C52" s="2"/>
      <c r="D52" s="2"/>
      <c r="E52" s="2"/>
      <c r="F52" s="2"/>
      <c r="G52" s="2"/>
      <c r="H52" s="2"/>
      <c r="I52" s="2"/>
      <c r="J52" s="2"/>
      <c r="K52" s="87"/>
      <c r="L52" s="2"/>
      <c r="M52" s="2"/>
      <c r="N52" s="2"/>
      <c r="O52" s="2"/>
      <c r="P52" s="2"/>
      <c r="Q52" s="2"/>
      <c r="R52" s="2"/>
      <c r="S52" s="2"/>
      <c r="T52" s="2"/>
      <c r="U52" s="2"/>
      <c r="V52" s="84"/>
      <c r="W52" s="84"/>
      <c r="X52" s="84"/>
    </row>
    <row r="53" spans="1:24" x14ac:dyDescent="0.25">
      <c r="A53" s="33"/>
      <c r="B53" s="2">
        <f t="shared" si="0"/>
        <v>49</v>
      </c>
      <c r="C53" s="2"/>
      <c r="D53" s="2"/>
      <c r="E53" s="2"/>
      <c r="F53" s="2"/>
      <c r="G53" s="2"/>
      <c r="H53" s="2"/>
      <c r="I53" s="2"/>
      <c r="J53" s="2"/>
      <c r="K53" s="87"/>
      <c r="L53" s="2"/>
      <c r="M53" s="2"/>
      <c r="N53" s="2"/>
      <c r="O53" s="2"/>
      <c r="P53" s="2"/>
      <c r="Q53" s="2"/>
      <c r="R53" s="2"/>
      <c r="S53" s="2"/>
      <c r="T53" s="2"/>
      <c r="U53" s="2"/>
      <c r="V53" s="84"/>
      <c r="W53" s="84"/>
      <c r="X53" s="84"/>
    </row>
    <row r="54" spans="1:24" x14ac:dyDescent="0.25">
      <c r="A54" s="33"/>
      <c r="B54" s="2">
        <f t="shared" si="0"/>
        <v>50</v>
      </c>
      <c r="C54" s="2"/>
      <c r="D54" s="2"/>
      <c r="E54" s="2"/>
      <c r="F54" s="2"/>
      <c r="G54" s="2"/>
      <c r="H54" s="2"/>
      <c r="I54" s="2"/>
      <c r="J54" s="2"/>
      <c r="K54" s="87"/>
      <c r="L54" s="2"/>
      <c r="M54" s="2"/>
      <c r="N54" s="2"/>
      <c r="O54" s="2"/>
      <c r="P54" s="2"/>
      <c r="Q54" s="2"/>
      <c r="R54" s="2"/>
      <c r="S54" s="2"/>
      <c r="T54" s="2"/>
      <c r="U54" s="2"/>
      <c r="V54" s="84"/>
      <c r="W54" s="84"/>
      <c r="X54" s="84"/>
    </row>
    <row r="55" spans="1:24" x14ac:dyDescent="0.25">
      <c r="A55" s="33"/>
      <c r="B55" s="2">
        <f t="shared" si="0"/>
        <v>51</v>
      </c>
      <c r="C55" s="2"/>
      <c r="D55" s="2"/>
      <c r="E55" s="2"/>
      <c r="F55" s="2"/>
      <c r="G55" s="2"/>
      <c r="H55" s="2"/>
      <c r="I55" s="2"/>
      <c r="J55" s="2"/>
      <c r="K55" s="87"/>
      <c r="L55" s="2"/>
      <c r="M55" s="2"/>
      <c r="N55" s="2"/>
      <c r="O55" s="2"/>
      <c r="P55" s="2"/>
      <c r="Q55" s="2"/>
      <c r="R55" s="2"/>
      <c r="S55" s="2"/>
      <c r="T55" s="2"/>
      <c r="U55" s="2"/>
      <c r="V55" s="84"/>
      <c r="W55" s="84"/>
      <c r="X55" s="84"/>
    </row>
    <row r="56" spans="1:24" x14ac:dyDescent="0.25">
      <c r="A56" s="33"/>
      <c r="B56" s="2">
        <f t="shared" si="0"/>
        <v>52</v>
      </c>
      <c r="C56" s="2"/>
      <c r="D56" s="2"/>
      <c r="E56" s="2"/>
      <c r="F56" s="2"/>
      <c r="G56" s="2"/>
      <c r="H56" s="2"/>
      <c r="I56" s="2"/>
      <c r="J56" s="2"/>
      <c r="K56" s="87"/>
      <c r="L56" s="2"/>
      <c r="M56" s="2"/>
      <c r="N56" s="2"/>
      <c r="O56" s="2"/>
      <c r="P56" s="2"/>
      <c r="Q56" s="2"/>
      <c r="R56" s="2"/>
      <c r="S56" s="2"/>
      <c r="T56" s="2"/>
      <c r="U56" s="2"/>
      <c r="V56" s="84"/>
      <c r="W56" s="84"/>
      <c r="X56" s="84"/>
    </row>
    <row r="57" spans="1:24" x14ac:dyDescent="0.25">
      <c r="A57" s="33"/>
      <c r="B57" s="2">
        <f t="shared" si="0"/>
        <v>53</v>
      </c>
      <c r="C57" s="2"/>
      <c r="D57" s="2"/>
      <c r="E57" s="2"/>
      <c r="F57" s="2"/>
      <c r="G57" s="2"/>
      <c r="H57" s="2"/>
      <c r="I57" s="2"/>
      <c r="J57" s="2"/>
      <c r="K57" s="87"/>
      <c r="L57" s="2"/>
      <c r="M57" s="2"/>
      <c r="N57" s="2"/>
      <c r="O57" s="2"/>
      <c r="P57" s="2"/>
      <c r="Q57" s="2"/>
      <c r="R57" s="2"/>
      <c r="S57" s="2"/>
      <c r="T57" s="2"/>
      <c r="U57" s="2"/>
      <c r="V57" s="84"/>
      <c r="W57" s="84"/>
      <c r="X57" s="84"/>
    </row>
    <row r="58" spans="1:24" x14ac:dyDescent="0.25">
      <c r="A58" s="33"/>
      <c r="B58" s="2">
        <f t="shared" si="0"/>
        <v>54</v>
      </c>
      <c r="C58" s="2"/>
      <c r="D58" s="2"/>
      <c r="E58" s="2"/>
      <c r="F58" s="2"/>
      <c r="G58" s="2"/>
      <c r="H58" s="2"/>
      <c r="I58" s="2"/>
      <c r="J58" s="2"/>
      <c r="K58" s="87"/>
      <c r="L58" s="2"/>
      <c r="M58" s="2"/>
      <c r="N58" s="2"/>
      <c r="O58" s="2"/>
      <c r="P58" s="2"/>
      <c r="Q58" s="2"/>
      <c r="R58" s="2"/>
      <c r="S58" s="2"/>
      <c r="T58" s="2"/>
      <c r="U58" s="2"/>
      <c r="V58" s="84"/>
      <c r="W58" s="84"/>
      <c r="X58" s="84"/>
    </row>
    <row r="59" spans="1:24" x14ac:dyDescent="0.25">
      <c r="A59" s="33"/>
      <c r="B59" s="2">
        <f t="shared" si="0"/>
        <v>55</v>
      </c>
      <c r="C59" s="2"/>
      <c r="D59" s="2"/>
      <c r="E59" s="2"/>
      <c r="F59" s="2"/>
      <c r="G59" s="2"/>
      <c r="H59" s="2"/>
      <c r="I59" s="2"/>
      <c r="J59" s="2"/>
      <c r="K59" s="87"/>
      <c r="L59" s="2"/>
      <c r="M59" s="2"/>
      <c r="N59" s="2"/>
      <c r="O59" s="2"/>
      <c r="P59" s="2"/>
      <c r="Q59" s="2"/>
      <c r="R59" s="2"/>
      <c r="S59" s="2"/>
      <c r="T59" s="2"/>
      <c r="U59" s="2"/>
      <c r="V59" s="84"/>
      <c r="W59" s="84"/>
      <c r="X59" s="84"/>
    </row>
    <row r="60" spans="1:24" x14ac:dyDescent="0.25">
      <c r="A60" s="33"/>
      <c r="B60" s="2">
        <f t="shared" si="0"/>
        <v>56</v>
      </c>
      <c r="C60" s="2"/>
      <c r="D60" s="2"/>
      <c r="E60" s="2"/>
      <c r="F60" s="2"/>
      <c r="G60" s="2"/>
      <c r="H60" s="2"/>
      <c r="I60" s="2"/>
      <c r="J60" s="2"/>
      <c r="K60" s="87"/>
      <c r="L60" s="2"/>
      <c r="M60" s="2"/>
      <c r="N60" s="2"/>
      <c r="O60" s="2"/>
      <c r="P60" s="2"/>
      <c r="Q60" s="2"/>
      <c r="R60" s="2"/>
      <c r="S60" s="2"/>
      <c r="T60" s="2"/>
      <c r="U60" s="2"/>
      <c r="V60" s="84"/>
      <c r="W60" s="84"/>
      <c r="X60" s="84"/>
    </row>
    <row r="61" spans="1:24" x14ac:dyDescent="0.25">
      <c r="A61" s="33"/>
      <c r="B61" s="2">
        <f t="shared" si="0"/>
        <v>57</v>
      </c>
      <c r="C61" s="2"/>
      <c r="D61" s="2"/>
      <c r="E61" s="2"/>
      <c r="F61" s="2"/>
      <c r="G61" s="2"/>
      <c r="H61" s="2"/>
      <c r="I61" s="2"/>
      <c r="J61" s="2"/>
      <c r="K61" s="87"/>
      <c r="L61" s="2"/>
      <c r="M61" s="2"/>
      <c r="N61" s="2"/>
      <c r="O61" s="2"/>
      <c r="P61" s="2"/>
      <c r="Q61" s="2"/>
      <c r="R61" s="2"/>
      <c r="S61" s="2"/>
      <c r="T61" s="2"/>
      <c r="U61" s="2"/>
      <c r="V61" s="84"/>
      <c r="W61" s="84"/>
      <c r="X61" s="84"/>
    </row>
    <row r="62" spans="1:24" x14ac:dyDescent="0.25">
      <c r="A62" s="33"/>
      <c r="B62" s="2">
        <f t="shared" si="0"/>
        <v>58</v>
      </c>
      <c r="C62" s="2"/>
      <c r="D62" s="2"/>
      <c r="E62" s="2"/>
      <c r="F62" s="2"/>
      <c r="G62" s="2"/>
      <c r="H62" s="2"/>
      <c r="I62" s="2"/>
      <c r="J62" s="2"/>
      <c r="K62" s="87"/>
      <c r="L62" s="2"/>
      <c r="M62" s="2"/>
      <c r="N62" s="2"/>
      <c r="O62" s="2"/>
      <c r="P62" s="2"/>
      <c r="Q62" s="2"/>
      <c r="R62" s="2"/>
      <c r="S62" s="2"/>
      <c r="T62" s="2"/>
      <c r="U62" s="2"/>
      <c r="V62" s="84"/>
      <c r="W62" s="84"/>
      <c r="X62" s="84"/>
    </row>
    <row r="63" spans="1:24" x14ac:dyDescent="0.25">
      <c r="A63" s="33"/>
      <c r="B63" s="2">
        <f t="shared" si="0"/>
        <v>59</v>
      </c>
      <c r="C63" s="2"/>
      <c r="D63" s="2"/>
      <c r="E63" s="2"/>
      <c r="F63" s="2"/>
      <c r="G63" s="2"/>
      <c r="H63" s="2"/>
      <c r="I63" s="2"/>
      <c r="J63" s="2"/>
      <c r="K63" s="87"/>
      <c r="L63" s="2"/>
      <c r="M63" s="2"/>
      <c r="N63" s="2"/>
      <c r="O63" s="2"/>
      <c r="P63" s="2"/>
      <c r="Q63" s="2"/>
      <c r="R63" s="2"/>
      <c r="S63" s="2"/>
      <c r="T63" s="2"/>
      <c r="U63" s="2"/>
      <c r="V63" s="84"/>
      <c r="W63" s="84"/>
      <c r="X63" s="84"/>
    </row>
    <row r="64" spans="1:24" x14ac:dyDescent="0.25">
      <c r="A64" s="33"/>
      <c r="B64" s="2">
        <f t="shared" si="0"/>
        <v>60</v>
      </c>
      <c r="C64" s="2"/>
      <c r="D64" s="2"/>
      <c r="E64" s="2"/>
      <c r="F64" s="2"/>
      <c r="G64" s="2"/>
      <c r="H64" s="2"/>
      <c r="I64" s="2"/>
      <c r="J64" s="2"/>
      <c r="K64" s="87"/>
      <c r="L64" s="2"/>
      <c r="M64" s="2"/>
      <c r="N64" s="2"/>
      <c r="O64" s="2"/>
      <c r="P64" s="2"/>
      <c r="Q64" s="2"/>
      <c r="R64" s="2"/>
      <c r="S64" s="2"/>
      <c r="T64" s="2"/>
      <c r="U64" s="2"/>
      <c r="V64" s="84"/>
      <c r="W64" s="84"/>
      <c r="X64" s="84"/>
    </row>
    <row r="65" spans="1:24" x14ac:dyDescent="0.25">
      <c r="A65" s="33"/>
      <c r="B65" s="2">
        <f t="shared" si="0"/>
        <v>61</v>
      </c>
      <c r="C65" s="2"/>
      <c r="D65" s="2"/>
      <c r="E65" s="2"/>
      <c r="F65" s="2"/>
      <c r="G65" s="2"/>
      <c r="H65" s="2"/>
      <c r="I65" s="2"/>
      <c r="J65" s="2"/>
      <c r="K65" s="87"/>
      <c r="L65" s="2"/>
      <c r="M65" s="2"/>
      <c r="N65" s="2"/>
      <c r="O65" s="2"/>
      <c r="P65" s="2"/>
      <c r="Q65" s="2"/>
      <c r="R65" s="2"/>
      <c r="S65" s="2"/>
      <c r="T65" s="2"/>
      <c r="U65" s="2"/>
      <c r="V65" s="84"/>
      <c r="W65" s="84"/>
      <c r="X65" s="84"/>
    </row>
    <row r="66" spans="1:24" x14ac:dyDescent="0.25">
      <c r="A66" s="33"/>
      <c r="B66" s="2">
        <f t="shared" si="0"/>
        <v>62</v>
      </c>
      <c r="C66" s="2"/>
      <c r="D66" s="2"/>
      <c r="E66" s="2"/>
      <c r="F66" s="2"/>
      <c r="G66" s="2"/>
      <c r="H66" s="2"/>
      <c r="I66" s="2"/>
      <c r="J66" s="2"/>
      <c r="K66" s="87"/>
      <c r="L66" s="2"/>
      <c r="M66" s="2"/>
      <c r="N66" s="2"/>
      <c r="O66" s="2"/>
      <c r="P66" s="2"/>
      <c r="Q66" s="2"/>
      <c r="R66" s="2"/>
      <c r="S66" s="2"/>
      <c r="T66" s="2"/>
      <c r="U66" s="2"/>
      <c r="V66" s="84"/>
      <c r="W66" s="84"/>
      <c r="X66" s="84"/>
    </row>
    <row r="67" spans="1:24" x14ac:dyDescent="0.25">
      <c r="A67" s="33"/>
      <c r="B67" s="2">
        <f t="shared" si="0"/>
        <v>63</v>
      </c>
      <c r="C67" s="2"/>
      <c r="D67" s="2"/>
      <c r="E67" s="2"/>
      <c r="F67" s="2"/>
      <c r="G67" s="2"/>
      <c r="H67" s="2"/>
      <c r="I67" s="2"/>
      <c r="J67" s="2"/>
      <c r="K67" s="87"/>
      <c r="L67" s="2"/>
      <c r="M67" s="2"/>
      <c r="N67" s="2"/>
      <c r="O67" s="2"/>
      <c r="P67" s="2"/>
      <c r="Q67" s="2"/>
      <c r="R67" s="2"/>
      <c r="S67" s="2"/>
      <c r="T67" s="2"/>
      <c r="U67" s="2"/>
      <c r="V67" s="84"/>
      <c r="W67" s="84"/>
      <c r="X67" s="84"/>
    </row>
    <row r="68" spans="1:24" x14ac:dyDescent="0.25">
      <c r="A68" s="33"/>
      <c r="B68" s="2">
        <f t="shared" si="0"/>
        <v>64</v>
      </c>
      <c r="C68" s="2"/>
      <c r="D68" s="2"/>
      <c r="E68" s="2"/>
      <c r="F68" s="2"/>
      <c r="G68" s="2"/>
      <c r="H68" s="2"/>
      <c r="I68" s="2"/>
      <c r="J68" s="2"/>
      <c r="K68" s="87"/>
      <c r="L68" s="2"/>
      <c r="M68" s="2"/>
      <c r="N68" s="2"/>
      <c r="O68" s="2"/>
      <c r="P68" s="2"/>
      <c r="Q68" s="2"/>
      <c r="R68" s="2"/>
      <c r="S68" s="2"/>
      <c r="T68" s="2"/>
      <c r="U68" s="2"/>
      <c r="V68" s="84"/>
      <c r="W68" s="84"/>
      <c r="X68" s="84"/>
    </row>
    <row r="69" spans="1:24" x14ac:dyDescent="0.25">
      <c r="A69" s="33"/>
      <c r="B69" s="2">
        <f t="shared" si="0"/>
        <v>65</v>
      </c>
      <c r="C69" s="2"/>
      <c r="D69" s="2"/>
      <c r="E69" s="2"/>
      <c r="F69" s="2"/>
      <c r="G69" s="2"/>
      <c r="H69" s="2"/>
      <c r="I69" s="2"/>
      <c r="J69" s="2"/>
      <c r="K69" s="87"/>
      <c r="L69" s="2"/>
      <c r="M69" s="2"/>
      <c r="N69" s="2"/>
      <c r="O69" s="2"/>
      <c r="P69" s="2"/>
      <c r="Q69" s="2"/>
      <c r="R69" s="2"/>
      <c r="S69" s="2"/>
      <c r="T69" s="2"/>
      <c r="U69" s="2"/>
      <c r="V69" s="84"/>
      <c r="W69" s="84"/>
      <c r="X69" s="84"/>
    </row>
    <row r="70" spans="1:24" x14ac:dyDescent="0.25">
      <c r="A70" s="33"/>
      <c r="B70" s="2">
        <f t="shared" ref="B70:B79" si="1">B69+1</f>
        <v>66</v>
      </c>
      <c r="C70" s="2"/>
      <c r="D70" s="2"/>
      <c r="E70" s="2"/>
      <c r="F70" s="2"/>
      <c r="G70" s="2"/>
      <c r="H70" s="2"/>
      <c r="I70" s="2"/>
      <c r="J70" s="2"/>
      <c r="K70" s="87"/>
      <c r="L70" s="2"/>
      <c r="M70" s="2"/>
      <c r="N70" s="2"/>
      <c r="O70" s="2"/>
      <c r="P70" s="2"/>
      <c r="Q70" s="2"/>
      <c r="R70" s="2"/>
      <c r="S70" s="2"/>
      <c r="T70" s="2"/>
      <c r="U70" s="2"/>
      <c r="V70" s="84"/>
      <c r="W70" s="84"/>
      <c r="X70" s="84"/>
    </row>
    <row r="71" spans="1:24" x14ac:dyDescent="0.25">
      <c r="A71" s="33"/>
      <c r="B71" s="2">
        <f t="shared" si="1"/>
        <v>67</v>
      </c>
      <c r="C71" s="2"/>
      <c r="D71" s="2"/>
      <c r="E71" s="2"/>
      <c r="F71" s="2"/>
      <c r="G71" s="2"/>
      <c r="H71" s="2"/>
      <c r="I71" s="2"/>
      <c r="J71" s="2"/>
      <c r="K71" s="87"/>
      <c r="L71" s="2"/>
      <c r="M71" s="2"/>
      <c r="N71" s="2"/>
      <c r="O71" s="2"/>
      <c r="P71" s="2"/>
      <c r="Q71" s="2"/>
      <c r="R71" s="2"/>
      <c r="S71" s="2"/>
      <c r="T71" s="2"/>
      <c r="U71" s="2"/>
      <c r="V71" s="84"/>
      <c r="W71" s="84"/>
      <c r="X71" s="84"/>
    </row>
    <row r="72" spans="1:24" x14ac:dyDescent="0.25">
      <c r="A72" s="33"/>
      <c r="B72" s="2">
        <f t="shared" si="1"/>
        <v>68</v>
      </c>
      <c r="C72" s="2"/>
      <c r="D72" s="2"/>
      <c r="E72" s="2"/>
      <c r="F72" s="2"/>
      <c r="G72" s="2"/>
      <c r="H72" s="2"/>
      <c r="I72" s="2"/>
      <c r="J72" s="2"/>
      <c r="K72" s="87"/>
      <c r="L72" s="2"/>
      <c r="M72" s="2"/>
      <c r="N72" s="2"/>
      <c r="O72" s="2"/>
      <c r="P72" s="2"/>
      <c r="Q72" s="2"/>
      <c r="R72" s="2"/>
      <c r="S72" s="2"/>
      <c r="T72" s="2"/>
      <c r="U72" s="2"/>
      <c r="V72" s="84"/>
      <c r="W72" s="84"/>
      <c r="X72" s="84"/>
    </row>
    <row r="73" spans="1:24" x14ac:dyDescent="0.25">
      <c r="A73" s="33"/>
      <c r="B73" s="2">
        <f t="shared" si="1"/>
        <v>69</v>
      </c>
      <c r="C73" s="2"/>
      <c r="D73" s="2"/>
      <c r="E73" s="2"/>
      <c r="F73" s="2"/>
      <c r="G73" s="2"/>
      <c r="H73" s="2"/>
      <c r="I73" s="2"/>
      <c r="J73" s="2"/>
      <c r="K73" s="87"/>
      <c r="L73" s="2"/>
      <c r="M73" s="2"/>
      <c r="N73" s="2"/>
      <c r="O73" s="2"/>
      <c r="P73" s="2"/>
      <c r="Q73" s="2"/>
      <c r="R73" s="2"/>
      <c r="S73" s="2"/>
      <c r="T73" s="2"/>
      <c r="U73" s="2"/>
      <c r="V73" s="84"/>
      <c r="W73" s="84"/>
      <c r="X73" s="84"/>
    </row>
    <row r="74" spans="1:24" x14ac:dyDescent="0.25">
      <c r="A74" s="33"/>
      <c r="B74" s="2">
        <f t="shared" si="1"/>
        <v>70</v>
      </c>
      <c r="C74" s="2"/>
      <c r="D74" s="2"/>
      <c r="E74" s="2"/>
      <c r="F74" s="2"/>
      <c r="G74" s="2"/>
      <c r="H74" s="2"/>
      <c r="I74" s="2"/>
      <c r="J74" s="2"/>
      <c r="K74" s="87"/>
      <c r="L74" s="2"/>
      <c r="M74" s="2"/>
      <c r="N74" s="2"/>
      <c r="O74" s="2"/>
      <c r="P74" s="2"/>
      <c r="Q74" s="2"/>
      <c r="R74" s="2"/>
      <c r="S74" s="2"/>
      <c r="T74" s="2"/>
      <c r="U74" s="2"/>
      <c r="V74" s="84"/>
      <c r="W74" s="84"/>
      <c r="X74" s="84"/>
    </row>
    <row r="75" spans="1:24" x14ac:dyDescent="0.25">
      <c r="A75" s="33"/>
      <c r="B75" s="2">
        <f t="shared" si="1"/>
        <v>71</v>
      </c>
      <c r="C75" s="2"/>
      <c r="D75" s="2"/>
      <c r="E75" s="2"/>
      <c r="F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  <c r="R75" s="2"/>
      <c r="S75" s="2"/>
      <c r="T75" s="2"/>
      <c r="U75" s="2"/>
      <c r="V75" s="84"/>
      <c r="W75" s="84"/>
      <c r="X75" s="84"/>
    </row>
    <row r="76" spans="1:24" x14ac:dyDescent="0.25">
      <c r="A76" s="33"/>
      <c r="B76" s="2">
        <f t="shared" si="1"/>
        <v>72</v>
      </c>
      <c r="C76" s="2"/>
      <c r="D76" s="2"/>
      <c r="E76" s="2"/>
      <c r="F76" s="2"/>
      <c r="G76" s="2"/>
      <c r="H76" s="2"/>
      <c r="I76" s="2"/>
      <c r="J76" s="2"/>
      <c r="K76" s="87"/>
      <c r="L76" s="2"/>
      <c r="M76" s="2"/>
      <c r="N76" s="2"/>
      <c r="O76" s="2"/>
      <c r="P76" s="2"/>
      <c r="Q76" s="2"/>
      <c r="R76" s="2"/>
      <c r="S76" s="2"/>
      <c r="T76" s="2"/>
      <c r="U76" s="2"/>
      <c r="V76" s="84"/>
      <c r="W76" s="84"/>
      <c r="X76" s="84"/>
    </row>
    <row r="77" spans="1:24" x14ac:dyDescent="0.25">
      <c r="A77" s="33"/>
      <c r="B77" s="2">
        <f t="shared" si="1"/>
        <v>73</v>
      </c>
      <c r="C77" s="2"/>
      <c r="D77" s="2"/>
      <c r="E77" s="2"/>
      <c r="F77" s="2"/>
      <c r="G77" s="2"/>
      <c r="H77" s="2"/>
      <c r="I77" s="2"/>
      <c r="J77" s="2"/>
      <c r="K77" s="87"/>
      <c r="L77" s="2"/>
      <c r="M77" s="2"/>
      <c r="N77" s="2"/>
      <c r="O77" s="2"/>
      <c r="P77" s="2"/>
      <c r="Q77" s="2"/>
      <c r="R77" s="2"/>
      <c r="S77" s="2"/>
      <c r="T77" s="2"/>
      <c r="U77" s="2"/>
      <c r="V77" s="84"/>
      <c r="W77" s="84"/>
      <c r="X77" s="84"/>
    </row>
    <row r="78" spans="1:24" x14ac:dyDescent="0.25">
      <c r="A78" s="33"/>
      <c r="B78" s="2">
        <f t="shared" si="1"/>
        <v>74</v>
      </c>
      <c r="C78" s="2"/>
      <c r="D78" s="2"/>
      <c r="E78" s="2"/>
      <c r="F78" s="2"/>
      <c r="G78" s="2"/>
      <c r="H78" s="2"/>
      <c r="I78" s="2"/>
      <c r="J78" s="2"/>
      <c r="K78" s="87"/>
      <c r="L78" s="2"/>
      <c r="M78" s="2"/>
      <c r="N78" s="2"/>
      <c r="O78" s="2"/>
      <c r="P78" s="2"/>
      <c r="Q78" s="2"/>
      <c r="R78" s="2"/>
      <c r="S78" s="2"/>
      <c r="T78" s="2"/>
      <c r="U78" s="2"/>
      <c r="V78" s="84"/>
      <c r="W78" s="84"/>
      <c r="X78" s="84"/>
    </row>
    <row r="79" spans="1:24" x14ac:dyDescent="0.25">
      <c r="A79" s="33"/>
      <c r="B79" s="2">
        <f t="shared" si="1"/>
        <v>75</v>
      </c>
      <c r="C79" s="2"/>
      <c r="D79" s="2"/>
      <c r="E79" s="2"/>
      <c r="F79" s="2"/>
      <c r="G79" s="2"/>
      <c r="H79" s="2"/>
      <c r="I79" s="2"/>
      <c r="J79" s="2"/>
      <c r="K79" s="87"/>
      <c r="L79" s="2"/>
      <c r="M79" s="2"/>
      <c r="N79" s="2"/>
      <c r="O79" s="2"/>
      <c r="P79" s="2"/>
      <c r="Q79" s="2"/>
      <c r="R79" s="2"/>
      <c r="S79" s="2"/>
      <c r="T79" s="2"/>
      <c r="U79" s="2"/>
      <c r="V79" s="84"/>
      <c r="W79" s="84"/>
      <c r="X79" s="84"/>
    </row>
    <row r="80" spans="1:24" x14ac:dyDescent="0.25">
      <c r="A80" s="33"/>
      <c r="B80" s="2"/>
      <c r="C80" s="2"/>
      <c r="D80" s="2"/>
      <c r="E80" s="2"/>
      <c r="F80" s="2"/>
      <c r="G80" s="2"/>
      <c r="H80" s="2"/>
      <c r="I80" s="2"/>
      <c r="J80" s="2"/>
      <c r="K80" s="87"/>
      <c r="L80" s="2"/>
      <c r="M80" s="2"/>
      <c r="N80" s="2"/>
      <c r="O80" s="2"/>
      <c r="P80" s="2"/>
      <c r="Q80" s="2"/>
      <c r="R80" s="2"/>
      <c r="S80" s="2"/>
      <c r="T80" s="2"/>
      <c r="U80" s="2"/>
      <c r="V80" s="84"/>
      <c r="W80" s="84"/>
      <c r="X80" s="84"/>
    </row>
    <row r="81" spans="1:21" s="40" customFormat="1" ht="18.75" x14ac:dyDescent="0.4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88"/>
      <c r="L81" s="41"/>
      <c r="M81" s="41"/>
      <c r="N81" s="42" t="e">
        <f ca="1">SUM(N82:N159)</f>
        <v>#REF!</v>
      </c>
      <c r="O81" s="43"/>
      <c r="P81" s="44" t="e">
        <f ca="1">SUM(P82:P159)</f>
        <v>#REF!</v>
      </c>
      <c r="Q81" s="45"/>
      <c r="R81" s="43" t="e">
        <f ca="1">SUM(R82:R159)</f>
        <v>#REF!</v>
      </c>
      <c r="S81" s="45" t="e">
        <f ca="1">SUM(S82:S159)</f>
        <v>#REF!</v>
      </c>
      <c r="T81" s="45" t="e">
        <f ca="1">SUM(T82:T159)</f>
        <v>#REF!</v>
      </c>
      <c r="U81" s="45" t="e">
        <f ca="1">SUM(U82:U83)</f>
        <v>#REF!</v>
      </c>
    </row>
    <row r="82" spans="1:21" x14ac:dyDescent="0.25">
      <c r="A82" s="4">
        <v>1</v>
      </c>
      <c r="B82" s="66" t="e">
        <f t="shared" ref="B82:B113" ca="1" si="2">INDIRECT(CONCATENATE(B4,"!D2"))</f>
        <v>#REF!</v>
      </c>
      <c r="C82" s="6" t="e">
        <f t="shared" ref="C82:C113" ca="1" si="3">INDIRECT(CONCATENATE(B4,"!F2"))</f>
        <v>#REF!</v>
      </c>
      <c r="D82" s="4" t="e">
        <f t="shared" ref="D82" ca="1" si="4">B82</f>
        <v>#REF!</v>
      </c>
      <c r="E82" s="6" t="e">
        <f t="shared" ref="E82" ca="1" si="5">C82</f>
        <v>#REF!</v>
      </c>
      <c r="F82" s="66" t="e">
        <f t="shared" ref="F82" ca="1" si="6">B82</f>
        <v>#REF!</v>
      </c>
      <c r="G82" s="6" t="e">
        <f ca="1">C82</f>
        <v>#REF!</v>
      </c>
      <c r="H82" s="4" t="e">
        <f ca="1">VLOOKUP(L82,$V$5:$X$80,3,0)</f>
        <v>#REF!</v>
      </c>
      <c r="I82" s="4" t="e">
        <f ca="1">VLOOKUP(L82,$V$5:$W$80,2,0)</f>
        <v>#REF!</v>
      </c>
      <c r="J82" s="67">
        <f>J4</f>
        <v>0</v>
      </c>
      <c r="K82" s="89"/>
      <c r="L82" s="68" t="e">
        <f ca="1">INDIRECT(CONCATENATE(TOTAL!B4,"!D6"))</f>
        <v>#REF!</v>
      </c>
      <c r="M82" s="5" t="e">
        <f t="shared" ref="M82:M113" ca="1" si="7">INDIRECT(CONCATENATE(B4,"!D25"))</f>
        <v>#REF!</v>
      </c>
      <c r="N82" s="69" t="e">
        <f t="shared" ref="N82:N113" ca="1" si="8">INDIRECT(CONCATENATE(B4,"!L32"))</f>
        <v>#REF!</v>
      </c>
      <c r="O82" s="4">
        <f>O4</f>
        <v>0</v>
      </c>
      <c r="P82" s="5" t="e">
        <f t="shared" ref="P82:P113" ca="1" si="9">INDIRECT(CONCATENATE(B4,"!K32"))</f>
        <v>#REF!</v>
      </c>
      <c r="Q82" s="7" t="e">
        <f t="shared" ref="Q82:Q113" ca="1" si="10">IF(INDIRECT(CONCATENATE(B4,"!E41"))="SPR","ЕЛЬ","СОСНА")</f>
        <v>#REF!</v>
      </c>
      <c r="R82" s="4" t="e">
        <f t="shared" ref="R82:R113" ca="1" si="11">INDIRECT(CONCATENATE(B4,"!D27"))</f>
        <v>#REF!</v>
      </c>
      <c r="S82" s="4" t="e">
        <f t="shared" ref="S82" ca="1" si="12">T82-150</f>
        <v>#REF!</v>
      </c>
      <c r="T82" s="4" t="e">
        <f t="shared" ref="T82:T113" ca="1" si="13">INDIRECT(CONCATENATE(B4,"!M32"))</f>
        <v>#REF!</v>
      </c>
      <c r="U82" s="3" t="e">
        <f ca="1">INDIRECT(CONCATENATE(B4,"!O32"))</f>
        <v>#REF!</v>
      </c>
    </row>
    <row r="83" spans="1:21" x14ac:dyDescent="0.25">
      <c r="A83" s="4">
        <v>2</v>
      </c>
      <c r="B83" s="66" t="e">
        <f t="shared" ca="1" si="2"/>
        <v>#REF!</v>
      </c>
      <c r="C83" s="6" t="e">
        <f t="shared" ca="1" si="3"/>
        <v>#REF!</v>
      </c>
      <c r="D83" s="4" t="e">
        <f t="shared" ref="D83:D146" ca="1" si="14">B83</f>
        <v>#REF!</v>
      </c>
      <c r="E83" s="6" t="e">
        <f t="shared" ref="E83" ca="1" si="15">C83</f>
        <v>#REF!</v>
      </c>
      <c r="F83" s="66" t="e">
        <f t="shared" ref="F83" ca="1" si="16">B83</f>
        <v>#REF!</v>
      </c>
      <c r="G83" s="6" t="e">
        <f t="shared" ref="G83" ca="1" si="17">C83</f>
        <v>#REF!</v>
      </c>
      <c r="H83" s="4" t="e">
        <f t="shared" ref="H83:H146" ca="1" si="18">VLOOKUP(L83,$V$5:$X$80,3,0)</f>
        <v>#REF!</v>
      </c>
      <c r="I83" s="4" t="e">
        <f t="shared" ref="I83:I146" ca="1" si="19">VLOOKUP(L83,$V$5:$W$80,2,0)</f>
        <v>#REF!</v>
      </c>
      <c r="J83" s="67">
        <f t="shared" ref="J83:J146" si="20">J5</f>
        <v>0</v>
      </c>
      <c r="K83" s="89"/>
      <c r="L83" s="68" t="e">
        <f ca="1">INDIRECT(CONCATENATE(TOTAL!B5,"!D6"))</f>
        <v>#REF!</v>
      </c>
      <c r="M83" s="5" t="e">
        <f t="shared" ca="1" si="7"/>
        <v>#REF!</v>
      </c>
      <c r="N83" s="69" t="e">
        <f t="shared" ca="1" si="8"/>
        <v>#REF!</v>
      </c>
      <c r="O83" s="4">
        <f t="shared" ref="O83:O146" si="21">O5</f>
        <v>0</v>
      </c>
      <c r="P83" s="5" t="e">
        <f t="shared" ca="1" si="9"/>
        <v>#REF!</v>
      </c>
      <c r="Q83" s="7" t="e">
        <f t="shared" ca="1" si="10"/>
        <v>#REF!</v>
      </c>
      <c r="R83" s="4" t="e">
        <f t="shared" ca="1" si="11"/>
        <v>#REF!</v>
      </c>
      <c r="S83" s="4" t="e">
        <f t="shared" ref="S83" ca="1" si="22">T83-150</f>
        <v>#REF!</v>
      </c>
      <c r="T83" s="4" t="e">
        <f t="shared" ca="1" si="13"/>
        <v>#REF!</v>
      </c>
      <c r="U83" s="3" t="e">
        <f ca="1">INDIRECT(CONCATENATE(B5,"!O32"))</f>
        <v>#REF!</v>
      </c>
    </row>
    <row r="84" spans="1:21" x14ac:dyDescent="0.25">
      <c r="A84" s="4">
        <v>3</v>
      </c>
      <c r="B84" s="66" t="e">
        <f t="shared" ca="1" si="2"/>
        <v>#REF!</v>
      </c>
      <c r="C84" s="6" t="e">
        <f t="shared" ca="1" si="3"/>
        <v>#REF!</v>
      </c>
      <c r="D84" s="4" t="e">
        <f t="shared" ca="1" si="14"/>
        <v>#REF!</v>
      </c>
      <c r="E84" s="6" t="e">
        <f t="shared" ref="E84" ca="1" si="23">C84</f>
        <v>#REF!</v>
      </c>
      <c r="F84" s="66" t="e">
        <f t="shared" ref="F84" ca="1" si="24">B84</f>
        <v>#REF!</v>
      </c>
      <c r="G84" s="6" t="e">
        <f t="shared" ref="G84" ca="1" si="25">C84</f>
        <v>#REF!</v>
      </c>
      <c r="H84" s="4" t="e">
        <f t="shared" ca="1" si="18"/>
        <v>#REF!</v>
      </c>
      <c r="I84" s="4" t="e">
        <f t="shared" ca="1" si="19"/>
        <v>#REF!</v>
      </c>
      <c r="J84" s="67">
        <f t="shared" si="20"/>
        <v>0</v>
      </c>
      <c r="K84" s="89"/>
      <c r="L84" s="68" t="e">
        <f ca="1">INDIRECT(CONCATENATE(TOTAL!B6,"!D6"))</f>
        <v>#REF!</v>
      </c>
      <c r="M84" s="5" t="e">
        <f t="shared" ca="1" si="7"/>
        <v>#REF!</v>
      </c>
      <c r="N84" s="69" t="e">
        <f t="shared" ca="1" si="8"/>
        <v>#REF!</v>
      </c>
      <c r="O84" s="4">
        <f t="shared" si="21"/>
        <v>0</v>
      </c>
      <c r="P84" s="5" t="e">
        <f t="shared" ca="1" si="9"/>
        <v>#REF!</v>
      </c>
      <c r="Q84" s="7" t="e">
        <f t="shared" ca="1" si="10"/>
        <v>#REF!</v>
      </c>
      <c r="R84" s="4" t="e">
        <f t="shared" ca="1" si="11"/>
        <v>#REF!</v>
      </c>
      <c r="S84" s="4" t="e">
        <f t="shared" ref="S84" ca="1" si="26">T84-150</f>
        <v>#REF!</v>
      </c>
      <c r="T84" s="4" t="e">
        <f t="shared" ca="1" si="13"/>
        <v>#REF!</v>
      </c>
      <c r="U84" s="65"/>
    </row>
    <row r="85" spans="1:21" x14ac:dyDescent="0.25">
      <c r="A85" s="4">
        <v>4</v>
      </c>
      <c r="B85" s="66" t="e">
        <f t="shared" ca="1" si="2"/>
        <v>#REF!</v>
      </c>
      <c r="C85" s="6" t="e">
        <f t="shared" ca="1" si="3"/>
        <v>#REF!</v>
      </c>
      <c r="D85" s="4" t="e">
        <f t="shared" ca="1" si="14"/>
        <v>#REF!</v>
      </c>
      <c r="E85" s="6" t="e">
        <f t="shared" ref="E85:E86" ca="1" si="27">C85</f>
        <v>#REF!</v>
      </c>
      <c r="F85" s="66" t="e">
        <f t="shared" ref="F85:F86" ca="1" si="28">B85</f>
        <v>#REF!</v>
      </c>
      <c r="G85" s="6" t="e">
        <f t="shared" ref="G85:G86" ca="1" si="29">C85</f>
        <v>#REF!</v>
      </c>
      <c r="H85" s="4" t="e">
        <f t="shared" ca="1" si="18"/>
        <v>#REF!</v>
      </c>
      <c r="I85" s="4" t="e">
        <f t="shared" ca="1" si="19"/>
        <v>#REF!</v>
      </c>
      <c r="J85" s="67">
        <f t="shared" si="20"/>
        <v>0</v>
      </c>
      <c r="K85" s="89"/>
      <c r="L85" s="68" t="e">
        <f ca="1">INDIRECT(CONCATENATE(TOTAL!B7,"!D6"))</f>
        <v>#REF!</v>
      </c>
      <c r="M85" s="5" t="e">
        <f t="shared" ca="1" si="7"/>
        <v>#REF!</v>
      </c>
      <c r="N85" s="69" t="e">
        <f t="shared" ca="1" si="8"/>
        <v>#REF!</v>
      </c>
      <c r="O85" s="4">
        <f t="shared" si="21"/>
        <v>0</v>
      </c>
      <c r="P85" s="5" t="e">
        <f t="shared" ca="1" si="9"/>
        <v>#REF!</v>
      </c>
      <c r="Q85" s="7" t="e">
        <f t="shared" ca="1" si="10"/>
        <v>#REF!</v>
      </c>
      <c r="R85" s="4" t="e">
        <f t="shared" ca="1" si="11"/>
        <v>#REF!</v>
      </c>
      <c r="S85" s="4" t="e">
        <f t="shared" ref="S85:S86" ca="1" si="30">T85-150</f>
        <v>#REF!</v>
      </c>
      <c r="T85" s="4" t="e">
        <f t="shared" ca="1" si="13"/>
        <v>#REF!</v>
      </c>
      <c r="U85" s="65"/>
    </row>
    <row r="86" spans="1:21" x14ac:dyDescent="0.25">
      <c r="A86" s="4">
        <v>5</v>
      </c>
      <c r="B86" s="66" t="e">
        <f t="shared" ca="1" si="2"/>
        <v>#REF!</v>
      </c>
      <c r="C86" s="6" t="e">
        <f t="shared" ca="1" si="3"/>
        <v>#REF!</v>
      </c>
      <c r="D86" s="4" t="e">
        <f t="shared" ca="1" si="14"/>
        <v>#REF!</v>
      </c>
      <c r="E86" s="6" t="e">
        <f t="shared" ca="1" si="27"/>
        <v>#REF!</v>
      </c>
      <c r="F86" s="66" t="e">
        <f t="shared" ca="1" si="28"/>
        <v>#REF!</v>
      </c>
      <c r="G86" s="6" t="e">
        <f t="shared" ca="1" si="29"/>
        <v>#REF!</v>
      </c>
      <c r="H86" s="4" t="e">
        <f t="shared" ca="1" si="18"/>
        <v>#REF!</v>
      </c>
      <c r="I86" s="4" t="e">
        <f t="shared" ca="1" si="19"/>
        <v>#REF!</v>
      </c>
      <c r="J86" s="67">
        <f t="shared" si="20"/>
        <v>0</v>
      </c>
      <c r="K86" s="89"/>
      <c r="L86" s="68" t="e">
        <f ca="1">INDIRECT(CONCATENATE(TOTAL!B8,"!D6"))</f>
        <v>#REF!</v>
      </c>
      <c r="M86" s="5" t="e">
        <f t="shared" ca="1" si="7"/>
        <v>#REF!</v>
      </c>
      <c r="N86" s="69" t="e">
        <f t="shared" ca="1" si="8"/>
        <v>#REF!</v>
      </c>
      <c r="O86" s="4">
        <f t="shared" si="21"/>
        <v>0</v>
      </c>
      <c r="P86" s="5" t="e">
        <f t="shared" ca="1" si="9"/>
        <v>#REF!</v>
      </c>
      <c r="Q86" s="7" t="e">
        <f t="shared" ca="1" si="10"/>
        <v>#REF!</v>
      </c>
      <c r="R86" s="4" t="e">
        <f t="shared" ca="1" si="11"/>
        <v>#REF!</v>
      </c>
      <c r="S86" s="4" t="e">
        <f t="shared" ca="1" si="30"/>
        <v>#REF!</v>
      </c>
      <c r="T86" s="4" t="e">
        <f t="shared" ca="1" si="13"/>
        <v>#REF!</v>
      </c>
      <c r="U86" s="65"/>
    </row>
    <row r="87" spans="1:21" x14ac:dyDescent="0.25">
      <c r="A87" s="4">
        <v>6</v>
      </c>
      <c r="B87" s="66" t="e">
        <f t="shared" ca="1" si="2"/>
        <v>#REF!</v>
      </c>
      <c r="C87" s="6" t="e">
        <f t="shared" ca="1" si="3"/>
        <v>#REF!</v>
      </c>
      <c r="D87" s="4" t="e">
        <f t="shared" ca="1" si="14"/>
        <v>#REF!</v>
      </c>
      <c r="E87" s="6" t="e">
        <f t="shared" ref="E87" ca="1" si="31">C87</f>
        <v>#REF!</v>
      </c>
      <c r="F87" s="66" t="e">
        <f t="shared" ref="F87" ca="1" si="32">B87</f>
        <v>#REF!</v>
      </c>
      <c r="G87" s="6" t="e">
        <f t="shared" ref="G87" ca="1" si="33">C87</f>
        <v>#REF!</v>
      </c>
      <c r="H87" s="4" t="e">
        <f t="shared" ca="1" si="18"/>
        <v>#REF!</v>
      </c>
      <c r="I87" s="4" t="e">
        <f t="shared" ca="1" si="19"/>
        <v>#REF!</v>
      </c>
      <c r="J87" s="67">
        <f t="shared" si="20"/>
        <v>0</v>
      </c>
      <c r="K87" s="89"/>
      <c r="L87" s="68" t="e">
        <f ca="1">INDIRECT(CONCATENATE(TOTAL!B9,"!D6"))</f>
        <v>#REF!</v>
      </c>
      <c r="M87" s="5" t="e">
        <f t="shared" ca="1" si="7"/>
        <v>#REF!</v>
      </c>
      <c r="N87" s="69" t="e">
        <f t="shared" ca="1" si="8"/>
        <v>#REF!</v>
      </c>
      <c r="O87" s="4">
        <f t="shared" si="21"/>
        <v>0</v>
      </c>
      <c r="P87" s="5" t="e">
        <f t="shared" ca="1" si="9"/>
        <v>#REF!</v>
      </c>
      <c r="Q87" s="7" t="e">
        <f t="shared" ca="1" si="10"/>
        <v>#REF!</v>
      </c>
      <c r="R87" s="4" t="e">
        <f t="shared" ca="1" si="11"/>
        <v>#REF!</v>
      </c>
      <c r="S87" s="4" t="e">
        <f t="shared" ref="S87" ca="1" si="34">T87-150</f>
        <v>#REF!</v>
      </c>
      <c r="T87" s="4" t="e">
        <f t="shared" ca="1" si="13"/>
        <v>#REF!</v>
      </c>
      <c r="U87" s="65"/>
    </row>
    <row r="88" spans="1:21" x14ac:dyDescent="0.25">
      <c r="A88" s="4">
        <v>7</v>
      </c>
      <c r="B88" s="66" t="e">
        <f t="shared" ca="1" si="2"/>
        <v>#REF!</v>
      </c>
      <c r="C88" s="6" t="e">
        <f t="shared" ca="1" si="3"/>
        <v>#REF!</v>
      </c>
      <c r="D88" s="4" t="e">
        <f t="shared" ca="1" si="14"/>
        <v>#REF!</v>
      </c>
      <c r="E88" s="6" t="e">
        <f t="shared" ref="E88:E92" ca="1" si="35">C88</f>
        <v>#REF!</v>
      </c>
      <c r="F88" s="66" t="e">
        <f t="shared" ref="F88:F92" ca="1" si="36">B88</f>
        <v>#REF!</v>
      </c>
      <c r="G88" s="6" t="e">
        <f t="shared" ref="G88:G92" ca="1" si="37">C88</f>
        <v>#REF!</v>
      </c>
      <c r="H88" s="4" t="e">
        <f t="shared" ca="1" si="18"/>
        <v>#REF!</v>
      </c>
      <c r="I88" s="4" t="e">
        <f t="shared" ca="1" si="19"/>
        <v>#REF!</v>
      </c>
      <c r="J88" s="67">
        <f t="shared" si="20"/>
        <v>0</v>
      </c>
      <c r="K88" s="89"/>
      <c r="L88" s="68" t="e">
        <f ca="1">INDIRECT(CONCATENATE(TOTAL!B10,"!D6"))</f>
        <v>#REF!</v>
      </c>
      <c r="M88" s="5" t="e">
        <f t="shared" ca="1" si="7"/>
        <v>#REF!</v>
      </c>
      <c r="N88" s="69" t="e">
        <f t="shared" ca="1" si="8"/>
        <v>#REF!</v>
      </c>
      <c r="O88" s="4">
        <f t="shared" si="21"/>
        <v>0</v>
      </c>
      <c r="P88" s="5" t="e">
        <f t="shared" ca="1" si="9"/>
        <v>#REF!</v>
      </c>
      <c r="Q88" s="7" t="e">
        <f t="shared" ca="1" si="10"/>
        <v>#REF!</v>
      </c>
      <c r="R88" s="4" t="e">
        <f t="shared" ca="1" si="11"/>
        <v>#REF!</v>
      </c>
      <c r="S88" s="4" t="e">
        <f t="shared" ref="S88:S92" ca="1" si="38">T88-150</f>
        <v>#REF!</v>
      </c>
      <c r="T88" s="4" t="e">
        <f t="shared" ca="1" si="13"/>
        <v>#REF!</v>
      </c>
      <c r="U88" s="65"/>
    </row>
    <row r="89" spans="1:21" x14ac:dyDescent="0.25">
      <c r="A89" s="4">
        <v>8</v>
      </c>
      <c r="B89" s="66" t="e">
        <f t="shared" ca="1" si="2"/>
        <v>#REF!</v>
      </c>
      <c r="C89" s="6" t="e">
        <f t="shared" ca="1" si="3"/>
        <v>#REF!</v>
      </c>
      <c r="D89" s="4" t="e">
        <f t="shared" ca="1" si="14"/>
        <v>#REF!</v>
      </c>
      <c r="E89" s="6" t="e">
        <f t="shared" ca="1" si="35"/>
        <v>#REF!</v>
      </c>
      <c r="F89" s="66" t="e">
        <f t="shared" ca="1" si="36"/>
        <v>#REF!</v>
      </c>
      <c r="G89" s="6" t="e">
        <f t="shared" ca="1" si="37"/>
        <v>#REF!</v>
      </c>
      <c r="H89" s="4" t="e">
        <f t="shared" ca="1" si="18"/>
        <v>#REF!</v>
      </c>
      <c r="I89" s="4" t="e">
        <f t="shared" ca="1" si="19"/>
        <v>#REF!</v>
      </c>
      <c r="J89" s="67">
        <f t="shared" si="20"/>
        <v>0</v>
      </c>
      <c r="K89" s="89"/>
      <c r="L89" s="68" t="e">
        <f ca="1">INDIRECT(CONCATENATE(TOTAL!B11,"!D6"))</f>
        <v>#REF!</v>
      </c>
      <c r="M89" s="5" t="e">
        <f t="shared" ca="1" si="7"/>
        <v>#REF!</v>
      </c>
      <c r="N89" s="69" t="e">
        <f t="shared" ca="1" si="8"/>
        <v>#REF!</v>
      </c>
      <c r="O89" s="4">
        <f t="shared" si="21"/>
        <v>0</v>
      </c>
      <c r="P89" s="5" t="e">
        <f t="shared" ca="1" si="9"/>
        <v>#REF!</v>
      </c>
      <c r="Q89" s="7" t="e">
        <f t="shared" ca="1" si="10"/>
        <v>#REF!</v>
      </c>
      <c r="R89" s="4" t="e">
        <f t="shared" ca="1" si="11"/>
        <v>#REF!</v>
      </c>
      <c r="S89" s="4" t="e">
        <f t="shared" ca="1" si="38"/>
        <v>#REF!</v>
      </c>
      <c r="T89" s="4" t="e">
        <f t="shared" ca="1" si="13"/>
        <v>#REF!</v>
      </c>
      <c r="U89" s="65"/>
    </row>
    <row r="90" spans="1:21" x14ac:dyDescent="0.25">
      <c r="A90" s="4">
        <v>9</v>
      </c>
      <c r="B90" s="66" t="e">
        <f t="shared" ca="1" si="2"/>
        <v>#REF!</v>
      </c>
      <c r="C90" s="6" t="e">
        <f t="shared" ca="1" si="3"/>
        <v>#REF!</v>
      </c>
      <c r="D90" s="4" t="e">
        <f t="shared" ca="1" si="14"/>
        <v>#REF!</v>
      </c>
      <c r="E90" s="6" t="e">
        <f t="shared" ca="1" si="35"/>
        <v>#REF!</v>
      </c>
      <c r="F90" s="66" t="e">
        <f t="shared" ca="1" si="36"/>
        <v>#REF!</v>
      </c>
      <c r="G90" s="6" t="e">
        <f t="shared" ca="1" si="37"/>
        <v>#REF!</v>
      </c>
      <c r="H90" s="4" t="e">
        <f t="shared" ca="1" si="18"/>
        <v>#REF!</v>
      </c>
      <c r="I90" s="4" t="e">
        <f t="shared" ca="1" si="19"/>
        <v>#REF!</v>
      </c>
      <c r="J90" s="67">
        <f t="shared" si="20"/>
        <v>0</v>
      </c>
      <c r="K90" s="89"/>
      <c r="L90" s="68" t="e">
        <f ca="1">INDIRECT(CONCATENATE(TOTAL!B12,"!D6"))</f>
        <v>#REF!</v>
      </c>
      <c r="M90" s="5" t="e">
        <f t="shared" ca="1" si="7"/>
        <v>#REF!</v>
      </c>
      <c r="N90" s="69" t="e">
        <f t="shared" ca="1" si="8"/>
        <v>#REF!</v>
      </c>
      <c r="O90" s="4">
        <f t="shared" si="21"/>
        <v>0</v>
      </c>
      <c r="P90" s="5" t="e">
        <f t="shared" ca="1" si="9"/>
        <v>#REF!</v>
      </c>
      <c r="Q90" s="7" t="e">
        <f t="shared" ca="1" si="10"/>
        <v>#REF!</v>
      </c>
      <c r="R90" s="4" t="e">
        <f t="shared" ca="1" si="11"/>
        <v>#REF!</v>
      </c>
      <c r="S90" s="4" t="e">
        <f t="shared" ca="1" si="38"/>
        <v>#REF!</v>
      </c>
      <c r="T90" s="4" t="e">
        <f t="shared" ca="1" si="13"/>
        <v>#REF!</v>
      </c>
      <c r="U90" s="65"/>
    </row>
    <row r="91" spans="1:21" x14ac:dyDescent="0.25">
      <c r="A91" s="4">
        <v>10</v>
      </c>
      <c r="B91" s="66" t="e">
        <f t="shared" ca="1" si="2"/>
        <v>#REF!</v>
      </c>
      <c r="C91" s="6" t="e">
        <f t="shared" ca="1" si="3"/>
        <v>#REF!</v>
      </c>
      <c r="D91" s="4" t="e">
        <f t="shared" ca="1" si="14"/>
        <v>#REF!</v>
      </c>
      <c r="E91" s="6" t="e">
        <f t="shared" ca="1" si="35"/>
        <v>#REF!</v>
      </c>
      <c r="F91" s="66" t="e">
        <f t="shared" ca="1" si="36"/>
        <v>#REF!</v>
      </c>
      <c r="G91" s="6" t="e">
        <f t="shared" ca="1" si="37"/>
        <v>#REF!</v>
      </c>
      <c r="H91" s="4" t="e">
        <f t="shared" ca="1" si="18"/>
        <v>#REF!</v>
      </c>
      <c r="I91" s="4" t="e">
        <f t="shared" ca="1" si="19"/>
        <v>#REF!</v>
      </c>
      <c r="J91" s="67">
        <f t="shared" si="20"/>
        <v>0</v>
      </c>
      <c r="K91" s="89"/>
      <c r="L91" s="68" t="e">
        <f ca="1">INDIRECT(CONCATENATE(TOTAL!B13,"!D6"))</f>
        <v>#REF!</v>
      </c>
      <c r="M91" s="5" t="e">
        <f t="shared" ca="1" si="7"/>
        <v>#REF!</v>
      </c>
      <c r="N91" s="69" t="e">
        <f t="shared" ca="1" si="8"/>
        <v>#REF!</v>
      </c>
      <c r="O91" s="4">
        <f t="shared" si="21"/>
        <v>0</v>
      </c>
      <c r="P91" s="5" t="e">
        <f t="shared" ca="1" si="9"/>
        <v>#REF!</v>
      </c>
      <c r="Q91" s="7" t="e">
        <f t="shared" ca="1" si="10"/>
        <v>#REF!</v>
      </c>
      <c r="R91" s="4" t="e">
        <f t="shared" ca="1" si="11"/>
        <v>#REF!</v>
      </c>
      <c r="S91" s="4" t="e">
        <f t="shared" ca="1" si="38"/>
        <v>#REF!</v>
      </c>
      <c r="T91" s="4" t="e">
        <f t="shared" ca="1" si="13"/>
        <v>#REF!</v>
      </c>
      <c r="U91" s="65"/>
    </row>
    <row r="92" spans="1:21" x14ac:dyDescent="0.25">
      <c r="A92" s="4">
        <v>11</v>
      </c>
      <c r="B92" s="66" t="e">
        <f t="shared" ca="1" si="2"/>
        <v>#REF!</v>
      </c>
      <c r="C92" s="6" t="e">
        <f t="shared" ca="1" si="3"/>
        <v>#REF!</v>
      </c>
      <c r="D92" s="4" t="e">
        <f t="shared" ca="1" si="14"/>
        <v>#REF!</v>
      </c>
      <c r="E92" s="6" t="e">
        <f t="shared" ca="1" si="35"/>
        <v>#REF!</v>
      </c>
      <c r="F92" s="66" t="e">
        <f t="shared" ca="1" si="36"/>
        <v>#REF!</v>
      </c>
      <c r="G92" s="6" t="e">
        <f t="shared" ca="1" si="37"/>
        <v>#REF!</v>
      </c>
      <c r="H92" s="4" t="e">
        <f t="shared" ca="1" si="18"/>
        <v>#REF!</v>
      </c>
      <c r="I92" s="4" t="e">
        <f t="shared" ca="1" si="19"/>
        <v>#REF!</v>
      </c>
      <c r="J92" s="67">
        <f t="shared" si="20"/>
        <v>0</v>
      </c>
      <c r="K92" s="89"/>
      <c r="L92" s="68" t="e">
        <f ca="1">INDIRECT(CONCATENATE(TOTAL!B14,"!D6"))</f>
        <v>#REF!</v>
      </c>
      <c r="M92" s="5" t="e">
        <f t="shared" ca="1" si="7"/>
        <v>#REF!</v>
      </c>
      <c r="N92" s="69" t="e">
        <f t="shared" ca="1" si="8"/>
        <v>#REF!</v>
      </c>
      <c r="O92" s="4">
        <f t="shared" si="21"/>
        <v>0</v>
      </c>
      <c r="P92" s="5" t="e">
        <f t="shared" ca="1" si="9"/>
        <v>#REF!</v>
      </c>
      <c r="Q92" s="7" t="e">
        <f t="shared" ca="1" si="10"/>
        <v>#REF!</v>
      </c>
      <c r="R92" s="4" t="e">
        <f t="shared" ca="1" si="11"/>
        <v>#REF!</v>
      </c>
      <c r="S92" s="4" t="e">
        <f t="shared" ca="1" si="38"/>
        <v>#REF!</v>
      </c>
      <c r="T92" s="4" t="e">
        <f t="shared" ca="1" si="13"/>
        <v>#REF!</v>
      </c>
      <c r="U92" s="65"/>
    </row>
    <row r="93" spans="1:21" x14ac:dyDescent="0.25">
      <c r="A93" s="4">
        <v>12</v>
      </c>
      <c r="B93" s="66" t="e">
        <f t="shared" ca="1" si="2"/>
        <v>#REF!</v>
      </c>
      <c r="C93" s="6" t="e">
        <f t="shared" ca="1" si="3"/>
        <v>#REF!</v>
      </c>
      <c r="D93" s="4" t="e">
        <f t="shared" ca="1" si="14"/>
        <v>#REF!</v>
      </c>
      <c r="E93" s="6" t="e">
        <f t="shared" ref="E93:E99" ca="1" si="39">C93</f>
        <v>#REF!</v>
      </c>
      <c r="F93" s="66" t="e">
        <f t="shared" ref="F93:F99" ca="1" si="40">B93</f>
        <v>#REF!</v>
      </c>
      <c r="G93" s="6" t="e">
        <f t="shared" ref="G93:G99" ca="1" si="41">C93</f>
        <v>#REF!</v>
      </c>
      <c r="H93" s="4" t="e">
        <f t="shared" ca="1" si="18"/>
        <v>#REF!</v>
      </c>
      <c r="I93" s="4" t="e">
        <f t="shared" ca="1" si="19"/>
        <v>#REF!</v>
      </c>
      <c r="J93" s="67">
        <f t="shared" si="20"/>
        <v>0</v>
      </c>
      <c r="K93" s="89"/>
      <c r="L93" s="68" t="e">
        <f ca="1">INDIRECT(CONCATENATE(TOTAL!B15,"!D6"))</f>
        <v>#REF!</v>
      </c>
      <c r="M93" s="5" t="e">
        <f t="shared" ca="1" si="7"/>
        <v>#REF!</v>
      </c>
      <c r="N93" s="69" t="e">
        <f t="shared" ca="1" si="8"/>
        <v>#REF!</v>
      </c>
      <c r="O93" s="4">
        <f t="shared" si="21"/>
        <v>0</v>
      </c>
      <c r="P93" s="5" t="e">
        <f t="shared" ca="1" si="9"/>
        <v>#REF!</v>
      </c>
      <c r="Q93" s="7" t="e">
        <f t="shared" ca="1" si="10"/>
        <v>#REF!</v>
      </c>
      <c r="R93" s="4" t="e">
        <f t="shared" ca="1" si="11"/>
        <v>#REF!</v>
      </c>
      <c r="S93" s="4" t="e">
        <f t="shared" ref="S93:S99" ca="1" si="42">T93-150</f>
        <v>#REF!</v>
      </c>
      <c r="T93" s="4" t="e">
        <f t="shared" ca="1" si="13"/>
        <v>#REF!</v>
      </c>
      <c r="U93" s="65"/>
    </row>
    <row r="94" spans="1:21" x14ac:dyDescent="0.25">
      <c r="A94" s="4">
        <v>13</v>
      </c>
      <c r="B94" s="66" t="e">
        <f t="shared" ca="1" si="2"/>
        <v>#REF!</v>
      </c>
      <c r="C94" s="6" t="e">
        <f t="shared" ca="1" si="3"/>
        <v>#REF!</v>
      </c>
      <c r="D94" s="4" t="e">
        <f t="shared" ca="1" si="14"/>
        <v>#REF!</v>
      </c>
      <c r="E94" s="6" t="e">
        <f t="shared" ca="1" si="39"/>
        <v>#REF!</v>
      </c>
      <c r="F94" s="66" t="e">
        <f t="shared" ca="1" si="40"/>
        <v>#REF!</v>
      </c>
      <c r="G94" s="6" t="e">
        <f t="shared" ca="1" si="41"/>
        <v>#REF!</v>
      </c>
      <c r="H94" s="4" t="e">
        <f t="shared" ca="1" si="18"/>
        <v>#REF!</v>
      </c>
      <c r="I94" s="4" t="e">
        <f t="shared" ca="1" si="19"/>
        <v>#REF!</v>
      </c>
      <c r="J94" s="67">
        <f t="shared" si="20"/>
        <v>0</v>
      </c>
      <c r="K94" s="89"/>
      <c r="L94" s="68" t="e">
        <f ca="1">INDIRECT(CONCATENATE(TOTAL!B16,"!D6"))</f>
        <v>#REF!</v>
      </c>
      <c r="M94" s="5" t="e">
        <f t="shared" ca="1" si="7"/>
        <v>#REF!</v>
      </c>
      <c r="N94" s="69" t="e">
        <f t="shared" ca="1" si="8"/>
        <v>#REF!</v>
      </c>
      <c r="O94" s="4">
        <f t="shared" si="21"/>
        <v>0</v>
      </c>
      <c r="P94" s="5" t="e">
        <f t="shared" ca="1" si="9"/>
        <v>#REF!</v>
      </c>
      <c r="Q94" s="7" t="e">
        <f t="shared" ca="1" si="10"/>
        <v>#REF!</v>
      </c>
      <c r="R94" s="4" t="e">
        <f t="shared" ca="1" si="11"/>
        <v>#REF!</v>
      </c>
      <c r="S94" s="4" t="e">
        <f t="shared" ca="1" si="42"/>
        <v>#REF!</v>
      </c>
      <c r="T94" s="4" t="e">
        <f t="shared" ca="1" si="13"/>
        <v>#REF!</v>
      </c>
      <c r="U94" s="65"/>
    </row>
    <row r="95" spans="1:21" x14ac:dyDescent="0.25">
      <c r="A95" s="4">
        <v>14</v>
      </c>
      <c r="B95" s="66" t="e">
        <f t="shared" ca="1" si="2"/>
        <v>#REF!</v>
      </c>
      <c r="C95" s="6" t="e">
        <f t="shared" ca="1" si="3"/>
        <v>#REF!</v>
      </c>
      <c r="D95" s="4" t="e">
        <f t="shared" ca="1" si="14"/>
        <v>#REF!</v>
      </c>
      <c r="E95" s="6" t="e">
        <f t="shared" ca="1" si="39"/>
        <v>#REF!</v>
      </c>
      <c r="F95" s="66" t="e">
        <f t="shared" ca="1" si="40"/>
        <v>#REF!</v>
      </c>
      <c r="G95" s="6" t="e">
        <f t="shared" ca="1" si="41"/>
        <v>#REF!</v>
      </c>
      <c r="H95" s="4" t="e">
        <f t="shared" ca="1" si="18"/>
        <v>#REF!</v>
      </c>
      <c r="I95" s="4" t="e">
        <f t="shared" ca="1" si="19"/>
        <v>#REF!</v>
      </c>
      <c r="J95" s="67">
        <f t="shared" si="20"/>
        <v>0</v>
      </c>
      <c r="K95" s="89"/>
      <c r="L95" s="68" t="e">
        <f ca="1">INDIRECT(CONCATENATE(TOTAL!B17,"!D6"))</f>
        <v>#REF!</v>
      </c>
      <c r="M95" s="5" t="e">
        <f t="shared" ca="1" si="7"/>
        <v>#REF!</v>
      </c>
      <c r="N95" s="69" t="e">
        <f t="shared" ca="1" si="8"/>
        <v>#REF!</v>
      </c>
      <c r="O95" s="4">
        <f t="shared" si="21"/>
        <v>0</v>
      </c>
      <c r="P95" s="5" t="e">
        <f t="shared" ca="1" si="9"/>
        <v>#REF!</v>
      </c>
      <c r="Q95" s="7" t="e">
        <f t="shared" ca="1" si="10"/>
        <v>#REF!</v>
      </c>
      <c r="R95" s="4" t="e">
        <f t="shared" ca="1" si="11"/>
        <v>#REF!</v>
      </c>
      <c r="S95" s="4" t="e">
        <f t="shared" ca="1" si="42"/>
        <v>#REF!</v>
      </c>
      <c r="T95" s="4" t="e">
        <f t="shared" ca="1" si="13"/>
        <v>#REF!</v>
      </c>
      <c r="U95" s="65"/>
    </row>
    <row r="96" spans="1:21" x14ac:dyDescent="0.25">
      <c r="A96" s="4">
        <v>15</v>
      </c>
      <c r="B96" s="66" t="e">
        <f t="shared" ca="1" si="2"/>
        <v>#REF!</v>
      </c>
      <c r="C96" s="6" t="e">
        <f t="shared" ca="1" si="3"/>
        <v>#REF!</v>
      </c>
      <c r="D96" s="4" t="e">
        <f t="shared" ca="1" si="14"/>
        <v>#REF!</v>
      </c>
      <c r="E96" s="6" t="e">
        <f t="shared" ca="1" si="39"/>
        <v>#REF!</v>
      </c>
      <c r="F96" s="66" t="e">
        <f t="shared" ca="1" si="40"/>
        <v>#REF!</v>
      </c>
      <c r="G96" s="6" t="e">
        <f t="shared" ca="1" si="41"/>
        <v>#REF!</v>
      </c>
      <c r="H96" s="4" t="e">
        <f t="shared" ca="1" si="18"/>
        <v>#REF!</v>
      </c>
      <c r="I96" s="4" t="e">
        <f t="shared" ca="1" si="19"/>
        <v>#REF!</v>
      </c>
      <c r="J96" s="67">
        <f t="shared" si="20"/>
        <v>0</v>
      </c>
      <c r="K96" s="89"/>
      <c r="L96" s="68" t="e">
        <f ca="1">INDIRECT(CONCATENATE(TOTAL!B18,"!D6"))</f>
        <v>#REF!</v>
      </c>
      <c r="M96" s="5" t="e">
        <f t="shared" ca="1" si="7"/>
        <v>#REF!</v>
      </c>
      <c r="N96" s="69" t="e">
        <f t="shared" ca="1" si="8"/>
        <v>#REF!</v>
      </c>
      <c r="O96" s="4">
        <f t="shared" si="21"/>
        <v>0</v>
      </c>
      <c r="P96" s="5" t="e">
        <f t="shared" ca="1" si="9"/>
        <v>#REF!</v>
      </c>
      <c r="Q96" s="7" t="e">
        <f t="shared" ca="1" si="10"/>
        <v>#REF!</v>
      </c>
      <c r="R96" s="4" t="e">
        <f t="shared" ca="1" si="11"/>
        <v>#REF!</v>
      </c>
      <c r="S96" s="4" t="e">
        <f t="shared" ca="1" si="42"/>
        <v>#REF!</v>
      </c>
      <c r="T96" s="4" t="e">
        <f t="shared" ca="1" si="13"/>
        <v>#REF!</v>
      </c>
      <c r="U96" s="65"/>
    </row>
    <row r="97" spans="1:21" x14ac:dyDescent="0.25">
      <c r="A97" s="4">
        <v>16</v>
      </c>
      <c r="B97" s="66" t="e">
        <f t="shared" ca="1" si="2"/>
        <v>#REF!</v>
      </c>
      <c r="C97" s="6" t="e">
        <f t="shared" ca="1" si="3"/>
        <v>#REF!</v>
      </c>
      <c r="D97" s="4" t="e">
        <f t="shared" ca="1" si="14"/>
        <v>#REF!</v>
      </c>
      <c r="E97" s="6" t="e">
        <f t="shared" ca="1" si="39"/>
        <v>#REF!</v>
      </c>
      <c r="F97" s="66" t="e">
        <f t="shared" ca="1" si="40"/>
        <v>#REF!</v>
      </c>
      <c r="G97" s="6" t="e">
        <f t="shared" ca="1" si="41"/>
        <v>#REF!</v>
      </c>
      <c r="H97" s="4" t="e">
        <f t="shared" ca="1" si="18"/>
        <v>#REF!</v>
      </c>
      <c r="I97" s="4" t="e">
        <f t="shared" ca="1" si="19"/>
        <v>#REF!</v>
      </c>
      <c r="J97" s="67">
        <f t="shared" si="20"/>
        <v>0</v>
      </c>
      <c r="K97" s="89"/>
      <c r="L97" s="68" t="e">
        <f ca="1">INDIRECT(CONCATENATE(TOTAL!B19,"!D6"))</f>
        <v>#REF!</v>
      </c>
      <c r="M97" s="5" t="e">
        <f t="shared" ca="1" si="7"/>
        <v>#REF!</v>
      </c>
      <c r="N97" s="69" t="e">
        <f t="shared" ca="1" si="8"/>
        <v>#REF!</v>
      </c>
      <c r="O97" s="4">
        <f t="shared" si="21"/>
        <v>0</v>
      </c>
      <c r="P97" s="5" t="e">
        <f t="shared" ca="1" si="9"/>
        <v>#REF!</v>
      </c>
      <c r="Q97" s="7" t="e">
        <f t="shared" ca="1" si="10"/>
        <v>#REF!</v>
      </c>
      <c r="R97" s="4" t="e">
        <f t="shared" ca="1" si="11"/>
        <v>#REF!</v>
      </c>
      <c r="S97" s="4" t="e">
        <f t="shared" ca="1" si="42"/>
        <v>#REF!</v>
      </c>
      <c r="T97" s="4" t="e">
        <f t="shared" ca="1" si="13"/>
        <v>#REF!</v>
      </c>
      <c r="U97" s="65"/>
    </row>
    <row r="98" spans="1:21" x14ac:dyDescent="0.25">
      <c r="A98" s="4">
        <v>17</v>
      </c>
      <c r="B98" s="66" t="e">
        <f t="shared" ca="1" si="2"/>
        <v>#REF!</v>
      </c>
      <c r="C98" s="6" t="e">
        <f t="shared" ca="1" si="3"/>
        <v>#REF!</v>
      </c>
      <c r="D98" s="4" t="e">
        <f t="shared" ca="1" si="14"/>
        <v>#REF!</v>
      </c>
      <c r="E98" s="6" t="e">
        <f t="shared" ca="1" si="39"/>
        <v>#REF!</v>
      </c>
      <c r="F98" s="66" t="e">
        <f t="shared" ca="1" si="40"/>
        <v>#REF!</v>
      </c>
      <c r="G98" s="6" t="e">
        <f t="shared" ca="1" si="41"/>
        <v>#REF!</v>
      </c>
      <c r="H98" s="4" t="e">
        <f t="shared" ca="1" si="18"/>
        <v>#REF!</v>
      </c>
      <c r="I98" s="4" t="e">
        <f t="shared" ca="1" si="19"/>
        <v>#REF!</v>
      </c>
      <c r="J98" s="67">
        <f t="shared" si="20"/>
        <v>0</v>
      </c>
      <c r="K98" s="89"/>
      <c r="L98" s="68" t="e">
        <f ca="1">INDIRECT(CONCATENATE(TOTAL!B20,"!D6"))</f>
        <v>#REF!</v>
      </c>
      <c r="M98" s="5" t="e">
        <f t="shared" ca="1" si="7"/>
        <v>#REF!</v>
      </c>
      <c r="N98" s="69" t="e">
        <f t="shared" ca="1" si="8"/>
        <v>#REF!</v>
      </c>
      <c r="O98" s="4">
        <f t="shared" si="21"/>
        <v>0</v>
      </c>
      <c r="P98" s="5" t="e">
        <f t="shared" ca="1" si="9"/>
        <v>#REF!</v>
      </c>
      <c r="Q98" s="7" t="e">
        <f t="shared" ca="1" si="10"/>
        <v>#REF!</v>
      </c>
      <c r="R98" s="4" t="e">
        <f t="shared" ca="1" si="11"/>
        <v>#REF!</v>
      </c>
      <c r="S98" s="4" t="e">
        <f t="shared" ca="1" si="42"/>
        <v>#REF!</v>
      </c>
      <c r="T98" s="4" t="e">
        <f t="shared" ca="1" si="13"/>
        <v>#REF!</v>
      </c>
      <c r="U98" s="65"/>
    </row>
    <row r="99" spans="1:21" x14ac:dyDescent="0.25">
      <c r="A99" s="4">
        <v>18</v>
      </c>
      <c r="B99" s="66" t="e">
        <f t="shared" ca="1" si="2"/>
        <v>#REF!</v>
      </c>
      <c r="C99" s="6" t="e">
        <f t="shared" ca="1" si="3"/>
        <v>#REF!</v>
      </c>
      <c r="D99" s="4" t="e">
        <f t="shared" ca="1" si="14"/>
        <v>#REF!</v>
      </c>
      <c r="E99" s="6" t="e">
        <f t="shared" ca="1" si="39"/>
        <v>#REF!</v>
      </c>
      <c r="F99" s="66" t="e">
        <f t="shared" ca="1" si="40"/>
        <v>#REF!</v>
      </c>
      <c r="G99" s="6" t="e">
        <f t="shared" ca="1" si="41"/>
        <v>#REF!</v>
      </c>
      <c r="H99" s="4" t="e">
        <f t="shared" ca="1" si="18"/>
        <v>#REF!</v>
      </c>
      <c r="I99" s="4" t="e">
        <f t="shared" ca="1" si="19"/>
        <v>#REF!</v>
      </c>
      <c r="J99" s="67">
        <f t="shared" si="20"/>
        <v>0</v>
      </c>
      <c r="K99" s="89"/>
      <c r="L99" s="68" t="e">
        <f ca="1">INDIRECT(CONCATENATE(TOTAL!B21,"!D6"))</f>
        <v>#REF!</v>
      </c>
      <c r="M99" s="5" t="e">
        <f t="shared" ca="1" si="7"/>
        <v>#REF!</v>
      </c>
      <c r="N99" s="69" t="e">
        <f t="shared" ca="1" si="8"/>
        <v>#REF!</v>
      </c>
      <c r="O99" s="4">
        <f t="shared" si="21"/>
        <v>0</v>
      </c>
      <c r="P99" s="5" t="e">
        <f t="shared" ca="1" si="9"/>
        <v>#REF!</v>
      </c>
      <c r="Q99" s="7" t="e">
        <f t="shared" ca="1" si="10"/>
        <v>#REF!</v>
      </c>
      <c r="R99" s="4" t="e">
        <f t="shared" ca="1" si="11"/>
        <v>#REF!</v>
      </c>
      <c r="S99" s="4" t="e">
        <f t="shared" ca="1" si="42"/>
        <v>#REF!</v>
      </c>
      <c r="T99" s="4" t="e">
        <f t="shared" ca="1" si="13"/>
        <v>#REF!</v>
      </c>
      <c r="U99" s="65"/>
    </row>
    <row r="100" spans="1:21" x14ac:dyDescent="0.25">
      <c r="A100" s="4">
        <v>19</v>
      </c>
      <c r="B100" s="66" t="e">
        <f t="shared" ca="1" si="2"/>
        <v>#REF!</v>
      </c>
      <c r="C100" s="6" t="e">
        <f t="shared" ca="1" si="3"/>
        <v>#REF!</v>
      </c>
      <c r="D100" s="4" t="e">
        <f t="shared" ca="1" si="14"/>
        <v>#REF!</v>
      </c>
      <c r="E100" s="6" t="e">
        <f t="shared" ref="E100" ca="1" si="43">C100</f>
        <v>#REF!</v>
      </c>
      <c r="F100" s="66" t="e">
        <f t="shared" ref="F100" ca="1" si="44">B100</f>
        <v>#REF!</v>
      </c>
      <c r="G100" s="6" t="e">
        <f t="shared" ref="G100" ca="1" si="45">C100</f>
        <v>#REF!</v>
      </c>
      <c r="H100" s="4" t="e">
        <f t="shared" ca="1" si="18"/>
        <v>#REF!</v>
      </c>
      <c r="I100" s="4" t="e">
        <f t="shared" ca="1" si="19"/>
        <v>#REF!</v>
      </c>
      <c r="J100" s="67">
        <f t="shared" si="20"/>
        <v>0</v>
      </c>
      <c r="K100" s="89"/>
      <c r="L100" s="68" t="e">
        <f ca="1">INDIRECT(CONCATENATE(TOTAL!B22,"!D6"))</f>
        <v>#REF!</v>
      </c>
      <c r="M100" s="5" t="e">
        <f t="shared" ca="1" si="7"/>
        <v>#REF!</v>
      </c>
      <c r="N100" s="69" t="e">
        <f t="shared" ca="1" si="8"/>
        <v>#REF!</v>
      </c>
      <c r="O100" s="4">
        <f t="shared" si="21"/>
        <v>0</v>
      </c>
      <c r="P100" s="5" t="e">
        <f t="shared" ca="1" si="9"/>
        <v>#REF!</v>
      </c>
      <c r="Q100" s="7" t="e">
        <f t="shared" ca="1" si="10"/>
        <v>#REF!</v>
      </c>
      <c r="R100" s="4" t="e">
        <f t="shared" ca="1" si="11"/>
        <v>#REF!</v>
      </c>
      <c r="S100" s="4" t="e">
        <f t="shared" ref="S100" ca="1" si="46">T100-150</f>
        <v>#REF!</v>
      </c>
      <c r="T100" s="4" t="e">
        <f t="shared" ca="1" si="13"/>
        <v>#REF!</v>
      </c>
      <c r="U100" s="65"/>
    </row>
    <row r="101" spans="1:21" x14ac:dyDescent="0.25">
      <c r="A101" s="4">
        <v>20</v>
      </c>
      <c r="B101" s="66" t="e">
        <f t="shared" ca="1" si="2"/>
        <v>#REF!</v>
      </c>
      <c r="C101" s="6" t="e">
        <f t="shared" ca="1" si="3"/>
        <v>#REF!</v>
      </c>
      <c r="D101" s="4" t="e">
        <f t="shared" ca="1" si="14"/>
        <v>#REF!</v>
      </c>
      <c r="E101" s="6" t="e">
        <f t="shared" ref="E101:E107" ca="1" si="47">C101</f>
        <v>#REF!</v>
      </c>
      <c r="F101" s="66" t="e">
        <f t="shared" ref="F101:F107" ca="1" si="48">B101</f>
        <v>#REF!</v>
      </c>
      <c r="G101" s="6" t="e">
        <f t="shared" ref="G101:G107" ca="1" si="49">C101</f>
        <v>#REF!</v>
      </c>
      <c r="H101" s="4" t="e">
        <f t="shared" ca="1" si="18"/>
        <v>#REF!</v>
      </c>
      <c r="I101" s="4" t="e">
        <f t="shared" ca="1" si="19"/>
        <v>#REF!</v>
      </c>
      <c r="J101" s="67">
        <f t="shared" si="20"/>
        <v>0</v>
      </c>
      <c r="K101" s="89"/>
      <c r="L101" s="68" t="e">
        <f ca="1">INDIRECT(CONCATENATE(TOTAL!B23,"!D6"))</f>
        <v>#REF!</v>
      </c>
      <c r="M101" s="5" t="e">
        <f t="shared" ca="1" si="7"/>
        <v>#REF!</v>
      </c>
      <c r="N101" s="69" t="e">
        <f t="shared" ca="1" si="8"/>
        <v>#REF!</v>
      </c>
      <c r="O101" s="4">
        <f t="shared" si="21"/>
        <v>0</v>
      </c>
      <c r="P101" s="5" t="e">
        <f t="shared" ca="1" si="9"/>
        <v>#REF!</v>
      </c>
      <c r="Q101" s="7" t="e">
        <f t="shared" ca="1" si="10"/>
        <v>#REF!</v>
      </c>
      <c r="R101" s="4" t="e">
        <f t="shared" ca="1" si="11"/>
        <v>#REF!</v>
      </c>
      <c r="S101" s="4" t="e">
        <f t="shared" ref="S101:S107" ca="1" si="50">T101-150</f>
        <v>#REF!</v>
      </c>
      <c r="T101" s="4" t="e">
        <f t="shared" ca="1" si="13"/>
        <v>#REF!</v>
      </c>
      <c r="U101" s="65"/>
    </row>
    <row r="102" spans="1:21" x14ac:dyDescent="0.25">
      <c r="A102" s="4">
        <v>21</v>
      </c>
      <c r="B102" s="66" t="e">
        <f t="shared" ca="1" si="2"/>
        <v>#REF!</v>
      </c>
      <c r="C102" s="6" t="e">
        <f t="shared" ca="1" si="3"/>
        <v>#REF!</v>
      </c>
      <c r="D102" s="4" t="e">
        <f t="shared" ca="1" si="14"/>
        <v>#REF!</v>
      </c>
      <c r="E102" s="6" t="e">
        <f t="shared" ca="1" si="47"/>
        <v>#REF!</v>
      </c>
      <c r="F102" s="66" t="e">
        <f t="shared" ca="1" si="48"/>
        <v>#REF!</v>
      </c>
      <c r="G102" s="6" t="e">
        <f t="shared" ca="1" si="49"/>
        <v>#REF!</v>
      </c>
      <c r="H102" s="4" t="e">
        <f t="shared" ca="1" si="18"/>
        <v>#REF!</v>
      </c>
      <c r="I102" s="4" t="e">
        <f t="shared" ca="1" si="19"/>
        <v>#REF!</v>
      </c>
      <c r="J102" s="67">
        <f t="shared" si="20"/>
        <v>0</v>
      </c>
      <c r="K102" s="89"/>
      <c r="L102" s="68" t="e">
        <f ca="1">INDIRECT(CONCATENATE(TOTAL!B24,"!D6"))</f>
        <v>#REF!</v>
      </c>
      <c r="M102" s="5" t="e">
        <f t="shared" ca="1" si="7"/>
        <v>#REF!</v>
      </c>
      <c r="N102" s="69" t="e">
        <f t="shared" ca="1" si="8"/>
        <v>#REF!</v>
      </c>
      <c r="O102" s="4">
        <f t="shared" si="21"/>
        <v>0</v>
      </c>
      <c r="P102" s="5" t="e">
        <f t="shared" ca="1" si="9"/>
        <v>#REF!</v>
      </c>
      <c r="Q102" s="7" t="e">
        <f t="shared" ca="1" si="10"/>
        <v>#REF!</v>
      </c>
      <c r="R102" s="4" t="e">
        <f t="shared" ca="1" si="11"/>
        <v>#REF!</v>
      </c>
      <c r="S102" s="4" t="e">
        <f t="shared" ca="1" si="50"/>
        <v>#REF!</v>
      </c>
      <c r="T102" s="4" t="e">
        <f t="shared" ca="1" si="13"/>
        <v>#REF!</v>
      </c>
      <c r="U102" s="65"/>
    </row>
    <row r="103" spans="1:21" x14ac:dyDescent="0.25">
      <c r="A103" s="4">
        <v>22</v>
      </c>
      <c r="B103" s="66" t="e">
        <f t="shared" ca="1" si="2"/>
        <v>#REF!</v>
      </c>
      <c r="C103" s="6" t="e">
        <f t="shared" ca="1" si="3"/>
        <v>#REF!</v>
      </c>
      <c r="D103" s="4" t="e">
        <f t="shared" ca="1" si="14"/>
        <v>#REF!</v>
      </c>
      <c r="E103" s="6" t="e">
        <f t="shared" ca="1" si="47"/>
        <v>#REF!</v>
      </c>
      <c r="F103" s="66" t="e">
        <f t="shared" ca="1" si="48"/>
        <v>#REF!</v>
      </c>
      <c r="G103" s="6" t="e">
        <f t="shared" ca="1" si="49"/>
        <v>#REF!</v>
      </c>
      <c r="H103" s="4" t="e">
        <f t="shared" ca="1" si="18"/>
        <v>#REF!</v>
      </c>
      <c r="I103" s="4" t="e">
        <f t="shared" ca="1" si="19"/>
        <v>#REF!</v>
      </c>
      <c r="J103" s="67">
        <f t="shared" si="20"/>
        <v>0</v>
      </c>
      <c r="K103" s="89"/>
      <c r="L103" s="68" t="e">
        <f ca="1">INDIRECT(CONCATENATE(TOTAL!B25,"!D6"))</f>
        <v>#REF!</v>
      </c>
      <c r="M103" s="5" t="e">
        <f t="shared" ca="1" si="7"/>
        <v>#REF!</v>
      </c>
      <c r="N103" s="69" t="e">
        <f t="shared" ca="1" si="8"/>
        <v>#REF!</v>
      </c>
      <c r="O103" s="4">
        <f t="shared" si="21"/>
        <v>0</v>
      </c>
      <c r="P103" s="5" t="e">
        <f t="shared" ca="1" si="9"/>
        <v>#REF!</v>
      </c>
      <c r="Q103" s="7" t="e">
        <f t="shared" ca="1" si="10"/>
        <v>#REF!</v>
      </c>
      <c r="R103" s="4" t="e">
        <f t="shared" ca="1" si="11"/>
        <v>#REF!</v>
      </c>
      <c r="S103" s="4" t="e">
        <f t="shared" ca="1" si="50"/>
        <v>#REF!</v>
      </c>
      <c r="T103" s="4" t="e">
        <f t="shared" ca="1" si="13"/>
        <v>#REF!</v>
      </c>
      <c r="U103" s="65"/>
    </row>
    <row r="104" spans="1:21" x14ac:dyDescent="0.25">
      <c r="A104" s="4">
        <v>23</v>
      </c>
      <c r="B104" s="66" t="e">
        <f t="shared" ca="1" si="2"/>
        <v>#REF!</v>
      </c>
      <c r="C104" s="6" t="e">
        <f t="shared" ca="1" si="3"/>
        <v>#REF!</v>
      </c>
      <c r="D104" s="4" t="e">
        <f t="shared" ca="1" si="14"/>
        <v>#REF!</v>
      </c>
      <c r="E104" s="6" t="e">
        <f t="shared" ca="1" si="47"/>
        <v>#REF!</v>
      </c>
      <c r="F104" s="66" t="e">
        <f t="shared" ca="1" si="48"/>
        <v>#REF!</v>
      </c>
      <c r="G104" s="6" t="e">
        <f t="shared" ca="1" si="49"/>
        <v>#REF!</v>
      </c>
      <c r="H104" s="4" t="e">
        <f t="shared" ca="1" si="18"/>
        <v>#REF!</v>
      </c>
      <c r="I104" s="4" t="e">
        <f t="shared" ca="1" si="19"/>
        <v>#REF!</v>
      </c>
      <c r="J104" s="67">
        <f t="shared" si="20"/>
        <v>0</v>
      </c>
      <c r="K104" s="89"/>
      <c r="L104" s="68" t="e">
        <f ca="1">INDIRECT(CONCATENATE(TOTAL!B26,"!D6"))</f>
        <v>#REF!</v>
      </c>
      <c r="M104" s="5" t="e">
        <f t="shared" ca="1" si="7"/>
        <v>#REF!</v>
      </c>
      <c r="N104" s="69" t="e">
        <f t="shared" ca="1" si="8"/>
        <v>#REF!</v>
      </c>
      <c r="O104" s="4">
        <f t="shared" si="21"/>
        <v>0</v>
      </c>
      <c r="P104" s="5" t="e">
        <f t="shared" ca="1" si="9"/>
        <v>#REF!</v>
      </c>
      <c r="Q104" s="7" t="e">
        <f t="shared" ca="1" si="10"/>
        <v>#REF!</v>
      </c>
      <c r="R104" s="4" t="e">
        <f t="shared" ca="1" si="11"/>
        <v>#REF!</v>
      </c>
      <c r="S104" s="4" t="e">
        <f t="shared" ca="1" si="50"/>
        <v>#REF!</v>
      </c>
      <c r="T104" s="4" t="e">
        <f t="shared" ca="1" si="13"/>
        <v>#REF!</v>
      </c>
      <c r="U104" s="65"/>
    </row>
    <row r="105" spans="1:21" x14ac:dyDescent="0.25">
      <c r="A105" s="4">
        <v>24</v>
      </c>
      <c r="B105" s="66" t="e">
        <f t="shared" ca="1" si="2"/>
        <v>#REF!</v>
      </c>
      <c r="C105" s="6" t="e">
        <f t="shared" ca="1" si="3"/>
        <v>#REF!</v>
      </c>
      <c r="D105" s="4" t="e">
        <f t="shared" ca="1" si="14"/>
        <v>#REF!</v>
      </c>
      <c r="E105" s="6" t="e">
        <f t="shared" ca="1" si="47"/>
        <v>#REF!</v>
      </c>
      <c r="F105" s="66" t="e">
        <f t="shared" ca="1" si="48"/>
        <v>#REF!</v>
      </c>
      <c r="G105" s="6" t="e">
        <f t="shared" ca="1" si="49"/>
        <v>#REF!</v>
      </c>
      <c r="H105" s="4" t="e">
        <f t="shared" ca="1" si="18"/>
        <v>#REF!</v>
      </c>
      <c r="I105" s="4" t="e">
        <f t="shared" ca="1" si="19"/>
        <v>#REF!</v>
      </c>
      <c r="J105" s="67">
        <f t="shared" si="20"/>
        <v>0</v>
      </c>
      <c r="K105" s="89"/>
      <c r="L105" s="68" t="e">
        <f ca="1">INDIRECT(CONCATENATE(TOTAL!B27,"!D6"))</f>
        <v>#REF!</v>
      </c>
      <c r="M105" s="5" t="e">
        <f t="shared" ca="1" si="7"/>
        <v>#REF!</v>
      </c>
      <c r="N105" s="69" t="e">
        <f t="shared" ca="1" si="8"/>
        <v>#REF!</v>
      </c>
      <c r="O105" s="4">
        <f t="shared" si="21"/>
        <v>0</v>
      </c>
      <c r="P105" s="5" t="e">
        <f t="shared" ca="1" si="9"/>
        <v>#REF!</v>
      </c>
      <c r="Q105" s="7" t="e">
        <f t="shared" ca="1" si="10"/>
        <v>#REF!</v>
      </c>
      <c r="R105" s="4" t="e">
        <f t="shared" ca="1" si="11"/>
        <v>#REF!</v>
      </c>
      <c r="S105" s="4" t="e">
        <f t="shared" ca="1" si="50"/>
        <v>#REF!</v>
      </c>
      <c r="T105" s="4" t="e">
        <f t="shared" ca="1" si="13"/>
        <v>#REF!</v>
      </c>
      <c r="U105" s="65"/>
    </row>
    <row r="106" spans="1:21" x14ac:dyDescent="0.25">
      <c r="A106" s="4">
        <v>25</v>
      </c>
      <c r="B106" s="66" t="e">
        <f t="shared" ca="1" si="2"/>
        <v>#REF!</v>
      </c>
      <c r="C106" s="6" t="e">
        <f t="shared" ca="1" si="3"/>
        <v>#REF!</v>
      </c>
      <c r="D106" s="4" t="e">
        <f t="shared" ca="1" si="14"/>
        <v>#REF!</v>
      </c>
      <c r="E106" s="6" t="e">
        <f t="shared" ca="1" si="47"/>
        <v>#REF!</v>
      </c>
      <c r="F106" s="66" t="e">
        <f t="shared" ca="1" si="48"/>
        <v>#REF!</v>
      </c>
      <c r="G106" s="6" t="e">
        <f t="shared" ca="1" si="49"/>
        <v>#REF!</v>
      </c>
      <c r="H106" s="4" t="e">
        <f t="shared" ca="1" si="18"/>
        <v>#REF!</v>
      </c>
      <c r="I106" s="4" t="e">
        <f t="shared" ca="1" si="19"/>
        <v>#REF!</v>
      </c>
      <c r="J106" s="67">
        <f t="shared" si="20"/>
        <v>0</v>
      </c>
      <c r="K106" s="89"/>
      <c r="L106" s="68" t="e">
        <f ca="1">INDIRECT(CONCATENATE(TOTAL!B28,"!D6"))</f>
        <v>#REF!</v>
      </c>
      <c r="M106" s="5" t="e">
        <f t="shared" ca="1" si="7"/>
        <v>#REF!</v>
      </c>
      <c r="N106" s="69" t="e">
        <f t="shared" ca="1" si="8"/>
        <v>#REF!</v>
      </c>
      <c r="O106" s="4">
        <f t="shared" si="21"/>
        <v>0</v>
      </c>
      <c r="P106" s="5" t="e">
        <f t="shared" ca="1" si="9"/>
        <v>#REF!</v>
      </c>
      <c r="Q106" s="7" t="e">
        <f t="shared" ca="1" si="10"/>
        <v>#REF!</v>
      </c>
      <c r="R106" s="4" t="e">
        <f t="shared" ca="1" si="11"/>
        <v>#REF!</v>
      </c>
      <c r="S106" s="4" t="e">
        <f t="shared" ca="1" si="50"/>
        <v>#REF!</v>
      </c>
      <c r="T106" s="4" t="e">
        <f t="shared" ca="1" si="13"/>
        <v>#REF!</v>
      </c>
      <c r="U106" s="65"/>
    </row>
    <row r="107" spans="1:21" x14ac:dyDescent="0.25">
      <c r="A107" s="4">
        <v>26</v>
      </c>
      <c r="B107" s="66" t="e">
        <f t="shared" ca="1" si="2"/>
        <v>#REF!</v>
      </c>
      <c r="C107" s="6" t="e">
        <f t="shared" ca="1" si="3"/>
        <v>#REF!</v>
      </c>
      <c r="D107" s="4" t="e">
        <f t="shared" ca="1" si="14"/>
        <v>#REF!</v>
      </c>
      <c r="E107" s="6" t="e">
        <f t="shared" ca="1" si="47"/>
        <v>#REF!</v>
      </c>
      <c r="F107" s="66" t="e">
        <f t="shared" ca="1" si="48"/>
        <v>#REF!</v>
      </c>
      <c r="G107" s="6" t="e">
        <f t="shared" ca="1" si="49"/>
        <v>#REF!</v>
      </c>
      <c r="H107" s="4" t="e">
        <f t="shared" ca="1" si="18"/>
        <v>#REF!</v>
      </c>
      <c r="I107" s="4" t="e">
        <f t="shared" ca="1" si="19"/>
        <v>#REF!</v>
      </c>
      <c r="J107" s="67">
        <f t="shared" si="20"/>
        <v>0</v>
      </c>
      <c r="K107" s="89"/>
      <c r="L107" s="68" t="e">
        <f ca="1">INDIRECT(CONCATENATE(TOTAL!B29,"!D6"))</f>
        <v>#REF!</v>
      </c>
      <c r="M107" s="5" t="e">
        <f t="shared" ca="1" si="7"/>
        <v>#REF!</v>
      </c>
      <c r="N107" s="69" t="e">
        <f t="shared" ca="1" si="8"/>
        <v>#REF!</v>
      </c>
      <c r="O107" s="4">
        <f t="shared" si="21"/>
        <v>0</v>
      </c>
      <c r="P107" s="5" t="e">
        <f t="shared" ca="1" si="9"/>
        <v>#REF!</v>
      </c>
      <c r="Q107" s="7" t="e">
        <f t="shared" ca="1" si="10"/>
        <v>#REF!</v>
      </c>
      <c r="R107" s="4" t="e">
        <f t="shared" ca="1" si="11"/>
        <v>#REF!</v>
      </c>
      <c r="S107" s="4" t="e">
        <f t="shared" ca="1" si="50"/>
        <v>#REF!</v>
      </c>
      <c r="T107" s="4" t="e">
        <f t="shared" ca="1" si="13"/>
        <v>#REF!</v>
      </c>
      <c r="U107" s="65"/>
    </row>
    <row r="108" spans="1:21" x14ac:dyDescent="0.25">
      <c r="A108" s="4">
        <v>27</v>
      </c>
      <c r="B108" s="66" t="e">
        <f t="shared" ca="1" si="2"/>
        <v>#REF!</v>
      </c>
      <c r="C108" s="6" t="e">
        <f t="shared" ca="1" si="3"/>
        <v>#REF!</v>
      </c>
      <c r="D108" s="4" t="e">
        <f t="shared" ca="1" si="14"/>
        <v>#REF!</v>
      </c>
      <c r="E108" s="6" t="e">
        <f t="shared" ref="E108" ca="1" si="51">C108</f>
        <v>#REF!</v>
      </c>
      <c r="F108" s="66" t="e">
        <f t="shared" ref="F108" ca="1" si="52">B108</f>
        <v>#REF!</v>
      </c>
      <c r="G108" s="6" t="e">
        <f t="shared" ref="G108" ca="1" si="53">C108</f>
        <v>#REF!</v>
      </c>
      <c r="H108" s="4" t="e">
        <f t="shared" ca="1" si="18"/>
        <v>#REF!</v>
      </c>
      <c r="I108" s="4" t="e">
        <f t="shared" ca="1" si="19"/>
        <v>#REF!</v>
      </c>
      <c r="J108" s="67">
        <f t="shared" si="20"/>
        <v>0</v>
      </c>
      <c r="K108" s="89"/>
      <c r="L108" s="68" t="e">
        <f ca="1">INDIRECT(CONCATENATE(TOTAL!B30,"!D6"))</f>
        <v>#REF!</v>
      </c>
      <c r="M108" s="5" t="e">
        <f t="shared" ca="1" si="7"/>
        <v>#REF!</v>
      </c>
      <c r="N108" s="69" t="e">
        <f t="shared" ca="1" si="8"/>
        <v>#REF!</v>
      </c>
      <c r="O108" s="4">
        <f t="shared" si="21"/>
        <v>0</v>
      </c>
      <c r="P108" s="5" t="e">
        <f t="shared" ca="1" si="9"/>
        <v>#REF!</v>
      </c>
      <c r="Q108" s="7" t="e">
        <f t="shared" ca="1" si="10"/>
        <v>#REF!</v>
      </c>
      <c r="R108" s="4" t="e">
        <f t="shared" ca="1" si="11"/>
        <v>#REF!</v>
      </c>
      <c r="S108" s="4" t="e">
        <f t="shared" ref="S108" ca="1" si="54">T108-150</f>
        <v>#REF!</v>
      </c>
      <c r="T108" s="4" t="e">
        <f t="shared" ca="1" si="13"/>
        <v>#REF!</v>
      </c>
      <c r="U108" s="65"/>
    </row>
    <row r="109" spans="1:21" x14ac:dyDescent="0.25">
      <c r="A109" s="4">
        <v>28</v>
      </c>
      <c r="B109" s="66" t="e">
        <f t="shared" ca="1" si="2"/>
        <v>#REF!</v>
      </c>
      <c r="C109" s="6" t="e">
        <f t="shared" ca="1" si="3"/>
        <v>#REF!</v>
      </c>
      <c r="D109" s="4" t="e">
        <f t="shared" ca="1" si="14"/>
        <v>#REF!</v>
      </c>
      <c r="E109" s="6" t="e">
        <f t="shared" ref="E109:E143" ca="1" si="55">C109</f>
        <v>#REF!</v>
      </c>
      <c r="F109" s="66" t="e">
        <f t="shared" ref="F109:F143" ca="1" si="56">B109</f>
        <v>#REF!</v>
      </c>
      <c r="G109" s="6" t="e">
        <f t="shared" ref="G109:G143" ca="1" si="57">C109</f>
        <v>#REF!</v>
      </c>
      <c r="H109" s="4" t="e">
        <f t="shared" ca="1" si="18"/>
        <v>#REF!</v>
      </c>
      <c r="I109" s="4" t="e">
        <f t="shared" ca="1" si="19"/>
        <v>#REF!</v>
      </c>
      <c r="J109" s="67">
        <f t="shared" si="20"/>
        <v>0</v>
      </c>
      <c r="K109" s="89"/>
      <c r="L109" s="68" t="e">
        <f ca="1">INDIRECT(CONCATENATE(TOTAL!B31,"!D6"))</f>
        <v>#REF!</v>
      </c>
      <c r="M109" s="5" t="e">
        <f t="shared" ca="1" si="7"/>
        <v>#REF!</v>
      </c>
      <c r="N109" s="69" t="e">
        <f t="shared" ca="1" si="8"/>
        <v>#REF!</v>
      </c>
      <c r="O109" s="4">
        <f t="shared" si="21"/>
        <v>0</v>
      </c>
      <c r="P109" s="5" t="e">
        <f t="shared" ca="1" si="9"/>
        <v>#REF!</v>
      </c>
      <c r="Q109" s="7" t="e">
        <f t="shared" ca="1" si="10"/>
        <v>#REF!</v>
      </c>
      <c r="R109" s="4" t="e">
        <f t="shared" ca="1" si="11"/>
        <v>#REF!</v>
      </c>
      <c r="S109" s="4" t="e">
        <f t="shared" ref="S109:S143" ca="1" si="58">T109-150</f>
        <v>#REF!</v>
      </c>
      <c r="T109" s="4" t="e">
        <f t="shared" ca="1" si="13"/>
        <v>#REF!</v>
      </c>
      <c r="U109" s="65"/>
    </row>
    <row r="110" spans="1:21" x14ac:dyDescent="0.25">
      <c r="A110" s="4">
        <v>29</v>
      </c>
      <c r="B110" s="66" t="e">
        <f t="shared" ca="1" si="2"/>
        <v>#REF!</v>
      </c>
      <c r="C110" s="6" t="e">
        <f t="shared" ca="1" si="3"/>
        <v>#REF!</v>
      </c>
      <c r="D110" s="4" t="e">
        <f t="shared" ca="1" si="14"/>
        <v>#REF!</v>
      </c>
      <c r="E110" s="6" t="e">
        <f t="shared" ca="1" si="55"/>
        <v>#REF!</v>
      </c>
      <c r="F110" s="66" t="e">
        <f t="shared" ca="1" si="56"/>
        <v>#REF!</v>
      </c>
      <c r="G110" s="6" t="e">
        <f t="shared" ca="1" si="57"/>
        <v>#REF!</v>
      </c>
      <c r="H110" s="4" t="e">
        <f t="shared" ca="1" si="18"/>
        <v>#REF!</v>
      </c>
      <c r="I110" s="4" t="e">
        <f t="shared" ca="1" si="19"/>
        <v>#REF!</v>
      </c>
      <c r="J110" s="67">
        <f t="shared" si="20"/>
        <v>0</v>
      </c>
      <c r="K110" s="89"/>
      <c r="L110" s="68" t="e">
        <f ca="1">INDIRECT(CONCATENATE(TOTAL!B32,"!D6"))</f>
        <v>#REF!</v>
      </c>
      <c r="M110" s="5" t="e">
        <f t="shared" ca="1" si="7"/>
        <v>#REF!</v>
      </c>
      <c r="N110" s="69" t="e">
        <f t="shared" ca="1" si="8"/>
        <v>#REF!</v>
      </c>
      <c r="O110" s="4">
        <f t="shared" si="21"/>
        <v>0</v>
      </c>
      <c r="P110" s="5" t="e">
        <f t="shared" ca="1" si="9"/>
        <v>#REF!</v>
      </c>
      <c r="Q110" s="7" t="e">
        <f t="shared" ca="1" si="10"/>
        <v>#REF!</v>
      </c>
      <c r="R110" s="4" t="e">
        <f t="shared" ca="1" si="11"/>
        <v>#REF!</v>
      </c>
      <c r="S110" s="4" t="e">
        <f t="shared" ca="1" si="58"/>
        <v>#REF!</v>
      </c>
      <c r="T110" s="4" t="e">
        <f t="shared" ca="1" si="13"/>
        <v>#REF!</v>
      </c>
      <c r="U110" s="65"/>
    </row>
    <row r="111" spans="1:21" x14ac:dyDescent="0.25">
      <c r="A111" s="4">
        <v>30</v>
      </c>
      <c r="B111" s="66" t="e">
        <f t="shared" ca="1" si="2"/>
        <v>#REF!</v>
      </c>
      <c r="C111" s="6" t="e">
        <f t="shared" ca="1" si="3"/>
        <v>#REF!</v>
      </c>
      <c r="D111" s="4" t="e">
        <f t="shared" ca="1" si="14"/>
        <v>#REF!</v>
      </c>
      <c r="E111" s="6" t="e">
        <f t="shared" ca="1" si="55"/>
        <v>#REF!</v>
      </c>
      <c r="F111" s="66" t="e">
        <f t="shared" ca="1" si="56"/>
        <v>#REF!</v>
      </c>
      <c r="G111" s="6" t="e">
        <f t="shared" ca="1" si="57"/>
        <v>#REF!</v>
      </c>
      <c r="H111" s="4" t="e">
        <f t="shared" ca="1" si="18"/>
        <v>#REF!</v>
      </c>
      <c r="I111" s="4" t="e">
        <f t="shared" ca="1" si="19"/>
        <v>#REF!</v>
      </c>
      <c r="J111" s="67">
        <f t="shared" si="20"/>
        <v>0</v>
      </c>
      <c r="K111" s="89"/>
      <c r="L111" s="68" t="e">
        <f ca="1">INDIRECT(CONCATENATE(TOTAL!B33,"!D6"))</f>
        <v>#REF!</v>
      </c>
      <c r="M111" s="5" t="e">
        <f t="shared" ca="1" si="7"/>
        <v>#REF!</v>
      </c>
      <c r="N111" s="69" t="e">
        <f t="shared" ca="1" si="8"/>
        <v>#REF!</v>
      </c>
      <c r="O111" s="4">
        <f t="shared" si="21"/>
        <v>0</v>
      </c>
      <c r="P111" s="5" t="e">
        <f t="shared" ca="1" si="9"/>
        <v>#REF!</v>
      </c>
      <c r="Q111" s="7" t="e">
        <f t="shared" ca="1" si="10"/>
        <v>#REF!</v>
      </c>
      <c r="R111" s="4" t="e">
        <f t="shared" ca="1" si="11"/>
        <v>#REF!</v>
      </c>
      <c r="S111" s="4" t="e">
        <f t="shared" ca="1" si="58"/>
        <v>#REF!</v>
      </c>
      <c r="T111" s="4" t="e">
        <f t="shared" ca="1" si="13"/>
        <v>#REF!</v>
      </c>
      <c r="U111" s="65"/>
    </row>
    <row r="112" spans="1:21" x14ac:dyDescent="0.25">
      <c r="A112" s="4">
        <v>31</v>
      </c>
      <c r="B112" s="66" t="e">
        <f t="shared" ca="1" si="2"/>
        <v>#REF!</v>
      </c>
      <c r="C112" s="6" t="e">
        <f t="shared" ca="1" si="3"/>
        <v>#REF!</v>
      </c>
      <c r="D112" s="4" t="e">
        <f t="shared" ca="1" si="14"/>
        <v>#REF!</v>
      </c>
      <c r="E112" s="6" t="e">
        <f t="shared" ca="1" si="55"/>
        <v>#REF!</v>
      </c>
      <c r="F112" s="66" t="e">
        <f t="shared" ca="1" si="56"/>
        <v>#REF!</v>
      </c>
      <c r="G112" s="6" t="e">
        <f t="shared" ca="1" si="57"/>
        <v>#REF!</v>
      </c>
      <c r="H112" s="4" t="e">
        <f t="shared" ca="1" si="18"/>
        <v>#REF!</v>
      </c>
      <c r="I112" s="4" t="e">
        <f t="shared" ca="1" si="19"/>
        <v>#REF!</v>
      </c>
      <c r="J112" s="67">
        <f t="shared" si="20"/>
        <v>0</v>
      </c>
      <c r="K112" s="89"/>
      <c r="L112" s="68" t="e">
        <f ca="1">INDIRECT(CONCATENATE(TOTAL!B34,"!D6"))</f>
        <v>#REF!</v>
      </c>
      <c r="M112" s="5" t="e">
        <f t="shared" ca="1" si="7"/>
        <v>#REF!</v>
      </c>
      <c r="N112" s="69" t="e">
        <f t="shared" ca="1" si="8"/>
        <v>#REF!</v>
      </c>
      <c r="O112" s="4">
        <f t="shared" si="21"/>
        <v>0</v>
      </c>
      <c r="P112" s="5" t="e">
        <f t="shared" ca="1" si="9"/>
        <v>#REF!</v>
      </c>
      <c r="Q112" s="7" t="e">
        <f t="shared" ca="1" si="10"/>
        <v>#REF!</v>
      </c>
      <c r="R112" s="4" t="e">
        <f t="shared" ca="1" si="11"/>
        <v>#REF!</v>
      </c>
      <c r="S112" s="4" t="e">
        <f t="shared" ca="1" si="58"/>
        <v>#REF!</v>
      </c>
      <c r="T112" s="4" t="e">
        <f t="shared" ca="1" si="13"/>
        <v>#REF!</v>
      </c>
      <c r="U112" s="65"/>
    </row>
    <row r="113" spans="1:21" x14ac:dyDescent="0.25">
      <c r="A113" s="4">
        <v>32</v>
      </c>
      <c r="B113" s="66" t="e">
        <f t="shared" ca="1" si="2"/>
        <v>#REF!</v>
      </c>
      <c r="C113" s="6" t="e">
        <f t="shared" ca="1" si="3"/>
        <v>#REF!</v>
      </c>
      <c r="D113" s="4" t="e">
        <f t="shared" ca="1" si="14"/>
        <v>#REF!</v>
      </c>
      <c r="E113" s="6" t="e">
        <f t="shared" ca="1" si="55"/>
        <v>#REF!</v>
      </c>
      <c r="F113" s="66" t="e">
        <f t="shared" ca="1" si="56"/>
        <v>#REF!</v>
      </c>
      <c r="G113" s="6" t="e">
        <f t="shared" ca="1" si="57"/>
        <v>#REF!</v>
      </c>
      <c r="H113" s="4" t="e">
        <f t="shared" ca="1" si="18"/>
        <v>#REF!</v>
      </c>
      <c r="I113" s="4" t="e">
        <f t="shared" ca="1" si="19"/>
        <v>#REF!</v>
      </c>
      <c r="J113" s="67">
        <f t="shared" si="20"/>
        <v>0</v>
      </c>
      <c r="K113" s="89"/>
      <c r="L113" s="68" t="e">
        <f ca="1">INDIRECT(CONCATENATE(TOTAL!B35,"!D6"))</f>
        <v>#REF!</v>
      </c>
      <c r="M113" s="5" t="e">
        <f t="shared" ca="1" si="7"/>
        <v>#REF!</v>
      </c>
      <c r="N113" s="69" t="e">
        <f t="shared" ca="1" si="8"/>
        <v>#REF!</v>
      </c>
      <c r="O113" s="4">
        <f t="shared" si="21"/>
        <v>0</v>
      </c>
      <c r="P113" s="5" t="e">
        <f t="shared" ca="1" si="9"/>
        <v>#REF!</v>
      </c>
      <c r="Q113" s="7" t="e">
        <f t="shared" ca="1" si="10"/>
        <v>#REF!</v>
      </c>
      <c r="R113" s="4" t="e">
        <f t="shared" ca="1" si="11"/>
        <v>#REF!</v>
      </c>
      <c r="S113" s="4" t="e">
        <f t="shared" ca="1" si="58"/>
        <v>#REF!</v>
      </c>
      <c r="T113" s="4" t="e">
        <f t="shared" ca="1" si="13"/>
        <v>#REF!</v>
      </c>
      <c r="U113" s="65"/>
    </row>
    <row r="114" spans="1:21" x14ac:dyDescent="0.25">
      <c r="A114" s="4">
        <v>33</v>
      </c>
      <c r="B114" s="66" t="e">
        <f t="shared" ref="B114:B145" ca="1" si="59">INDIRECT(CONCATENATE(B36,"!D2"))</f>
        <v>#REF!</v>
      </c>
      <c r="C114" s="6" t="e">
        <f t="shared" ref="C114:C145" ca="1" si="60">INDIRECT(CONCATENATE(B36,"!F2"))</f>
        <v>#REF!</v>
      </c>
      <c r="D114" s="4" t="e">
        <f t="shared" ca="1" si="14"/>
        <v>#REF!</v>
      </c>
      <c r="E114" s="6" t="e">
        <f t="shared" ca="1" si="55"/>
        <v>#REF!</v>
      </c>
      <c r="F114" s="66" t="e">
        <f t="shared" ca="1" si="56"/>
        <v>#REF!</v>
      </c>
      <c r="G114" s="6" t="e">
        <f t="shared" ca="1" si="57"/>
        <v>#REF!</v>
      </c>
      <c r="H114" s="4" t="e">
        <f t="shared" ca="1" si="18"/>
        <v>#REF!</v>
      </c>
      <c r="I114" s="4" t="e">
        <f t="shared" ca="1" si="19"/>
        <v>#REF!</v>
      </c>
      <c r="J114" s="67">
        <f t="shared" si="20"/>
        <v>0</v>
      </c>
      <c r="K114" s="89"/>
      <c r="L114" s="68" t="e">
        <f ca="1">INDIRECT(CONCATENATE(TOTAL!B36,"!D6"))</f>
        <v>#REF!</v>
      </c>
      <c r="M114" s="5" t="e">
        <f t="shared" ref="M114:M145" ca="1" si="61">INDIRECT(CONCATENATE(B36,"!D25"))</f>
        <v>#REF!</v>
      </c>
      <c r="N114" s="69" t="e">
        <f t="shared" ref="N114:N145" ca="1" si="62">INDIRECT(CONCATENATE(B36,"!L32"))</f>
        <v>#REF!</v>
      </c>
      <c r="O114" s="4">
        <f t="shared" si="21"/>
        <v>0</v>
      </c>
      <c r="P114" s="5" t="e">
        <f t="shared" ref="P114:P145" ca="1" si="63">INDIRECT(CONCATENATE(B36,"!K32"))</f>
        <v>#REF!</v>
      </c>
      <c r="Q114" s="7" t="e">
        <f t="shared" ref="Q114:Q145" ca="1" si="64">IF(INDIRECT(CONCATENATE(B36,"!E41"))="SPR","ЕЛЬ","СОСНА")</f>
        <v>#REF!</v>
      </c>
      <c r="R114" s="4" t="e">
        <f t="shared" ref="R114:R145" ca="1" si="65">INDIRECT(CONCATENATE(B36,"!D27"))</f>
        <v>#REF!</v>
      </c>
      <c r="S114" s="4" t="e">
        <f t="shared" ca="1" si="58"/>
        <v>#REF!</v>
      </c>
      <c r="T114" s="4" t="e">
        <f t="shared" ref="T114:T145" ca="1" si="66">INDIRECT(CONCATENATE(B36,"!M32"))</f>
        <v>#REF!</v>
      </c>
      <c r="U114" s="65"/>
    </row>
    <row r="115" spans="1:21" x14ac:dyDescent="0.25">
      <c r="A115" s="4">
        <v>34</v>
      </c>
      <c r="B115" s="66" t="e">
        <f t="shared" ca="1" si="59"/>
        <v>#REF!</v>
      </c>
      <c r="C115" s="6" t="e">
        <f t="shared" ca="1" si="60"/>
        <v>#REF!</v>
      </c>
      <c r="D115" s="4" t="e">
        <f t="shared" ca="1" si="14"/>
        <v>#REF!</v>
      </c>
      <c r="E115" s="6" t="e">
        <f t="shared" ca="1" si="55"/>
        <v>#REF!</v>
      </c>
      <c r="F115" s="66" t="e">
        <f t="shared" ca="1" si="56"/>
        <v>#REF!</v>
      </c>
      <c r="G115" s="6" t="e">
        <f t="shared" ca="1" si="57"/>
        <v>#REF!</v>
      </c>
      <c r="H115" s="4" t="e">
        <f t="shared" ca="1" si="18"/>
        <v>#REF!</v>
      </c>
      <c r="I115" s="4" t="e">
        <f t="shared" ca="1" si="19"/>
        <v>#REF!</v>
      </c>
      <c r="J115" s="67">
        <f t="shared" si="20"/>
        <v>0</v>
      </c>
      <c r="K115" s="89"/>
      <c r="L115" s="68" t="e">
        <f ca="1">INDIRECT(CONCATENATE(TOTAL!B37,"!D6"))</f>
        <v>#REF!</v>
      </c>
      <c r="M115" s="5" t="e">
        <f t="shared" ca="1" si="61"/>
        <v>#REF!</v>
      </c>
      <c r="N115" s="69" t="e">
        <f t="shared" ca="1" si="62"/>
        <v>#REF!</v>
      </c>
      <c r="O115" s="4">
        <f t="shared" si="21"/>
        <v>0</v>
      </c>
      <c r="P115" s="5" t="e">
        <f t="shared" ca="1" si="63"/>
        <v>#REF!</v>
      </c>
      <c r="Q115" s="7" t="e">
        <f t="shared" ca="1" si="64"/>
        <v>#REF!</v>
      </c>
      <c r="R115" s="4" t="e">
        <f t="shared" ca="1" si="65"/>
        <v>#REF!</v>
      </c>
      <c r="S115" s="4" t="e">
        <f t="shared" ca="1" si="58"/>
        <v>#REF!</v>
      </c>
      <c r="T115" s="4" t="e">
        <f t="shared" ca="1" si="66"/>
        <v>#REF!</v>
      </c>
      <c r="U115" s="65"/>
    </row>
    <row r="116" spans="1:21" x14ac:dyDescent="0.25">
      <c r="A116" s="4">
        <v>35</v>
      </c>
      <c r="B116" s="66" t="e">
        <f t="shared" ca="1" si="59"/>
        <v>#REF!</v>
      </c>
      <c r="C116" s="6" t="e">
        <f t="shared" ca="1" si="60"/>
        <v>#REF!</v>
      </c>
      <c r="D116" s="4" t="e">
        <f t="shared" ca="1" si="14"/>
        <v>#REF!</v>
      </c>
      <c r="E116" s="6" t="e">
        <f t="shared" ca="1" si="55"/>
        <v>#REF!</v>
      </c>
      <c r="F116" s="66" t="e">
        <f t="shared" ca="1" si="56"/>
        <v>#REF!</v>
      </c>
      <c r="G116" s="6" t="e">
        <f t="shared" ca="1" si="57"/>
        <v>#REF!</v>
      </c>
      <c r="H116" s="4" t="e">
        <f t="shared" ca="1" si="18"/>
        <v>#REF!</v>
      </c>
      <c r="I116" s="4" t="e">
        <f t="shared" ca="1" si="19"/>
        <v>#REF!</v>
      </c>
      <c r="J116" s="67">
        <f t="shared" si="20"/>
        <v>0</v>
      </c>
      <c r="K116" s="89"/>
      <c r="L116" s="68" t="e">
        <f ca="1">INDIRECT(CONCATENATE(TOTAL!B38,"!D6"))</f>
        <v>#REF!</v>
      </c>
      <c r="M116" s="5" t="e">
        <f t="shared" ca="1" si="61"/>
        <v>#REF!</v>
      </c>
      <c r="N116" s="69" t="e">
        <f t="shared" ca="1" si="62"/>
        <v>#REF!</v>
      </c>
      <c r="O116" s="4">
        <f t="shared" si="21"/>
        <v>0</v>
      </c>
      <c r="P116" s="5" t="e">
        <f t="shared" ca="1" si="63"/>
        <v>#REF!</v>
      </c>
      <c r="Q116" s="7" t="e">
        <f t="shared" ca="1" si="64"/>
        <v>#REF!</v>
      </c>
      <c r="R116" s="4" t="e">
        <f t="shared" ca="1" si="65"/>
        <v>#REF!</v>
      </c>
      <c r="S116" s="4" t="e">
        <f t="shared" ca="1" si="58"/>
        <v>#REF!</v>
      </c>
      <c r="T116" s="4" t="e">
        <f t="shared" ca="1" si="66"/>
        <v>#REF!</v>
      </c>
      <c r="U116" s="65"/>
    </row>
    <row r="117" spans="1:21" x14ac:dyDescent="0.25">
      <c r="A117" s="4">
        <v>36</v>
      </c>
      <c r="B117" s="66" t="e">
        <f t="shared" ca="1" si="59"/>
        <v>#REF!</v>
      </c>
      <c r="C117" s="6" t="e">
        <f t="shared" ca="1" si="60"/>
        <v>#REF!</v>
      </c>
      <c r="D117" s="4" t="e">
        <f t="shared" ca="1" si="14"/>
        <v>#REF!</v>
      </c>
      <c r="E117" s="6" t="e">
        <f t="shared" ca="1" si="55"/>
        <v>#REF!</v>
      </c>
      <c r="F117" s="66" t="e">
        <f t="shared" ca="1" si="56"/>
        <v>#REF!</v>
      </c>
      <c r="G117" s="6" t="e">
        <f t="shared" ca="1" si="57"/>
        <v>#REF!</v>
      </c>
      <c r="H117" s="4" t="e">
        <f t="shared" ca="1" si="18"/>
        <v>#REF!</v>
      </c>
      <c r="I117" s="4" t="e">
        <f t="shared" ca="1" si="19"/>
        <v>#REF!</v>
      </c>
      <c r="J117" s="67">
        <f t="shared" si="20"/>
        <v>0</v>
      </c>
      <c r="K117" s="89"/>
      <c r="L117" s="68" t="e">
        <f ca="1">INDIRECT(CONCATENATE(TOTAL!B39,"!D6"))</f>
        <v>#REF!</v>
      </c>
      <c r="M117" s="5" t="e">
        <f t="shared" ca="1" si="61"/>
        <v>#REF!</v>
      </c>
      <c r="N117" s="69" t="e">
        <f t="shared" ca="1" si="62"/>
        <v>#REF!</v>
      </c>
      <c r="O117" s="4">
        <f t="shared" si="21"/>
        <v>0</v>
      </c>
      <c r="P117" s="5" t="e">
        <f t="shared" ca="1" si="63"/>
        <v>#REF!</v>
      </c>
      <c r="Q117" s="7" t="e">
        <f t="shared" ca="1" si="64"/>
        <v>#REF!</v>
      </c>
      <c r="R117" s="4" t="e">
        <f t="shared" ca="1" si="65"/>
        <v>#REF!</v>
      </c>
      <c r="S117" s="4" t="e">
        <f t="shared" ca="1" si="58"/>
        <v>#REF!</v>
      </c>
      <c r="T117" s="4" t="e">
        <f t="shared" ca="1" si="66"/>
        <v>#REF!</v>
      </c>
      <c r="U117" s="65"/>
    </row>
    <row r="118" spans="1:21" x14ac:dyDescent="0.25">
      <c r="A118" s="4">
        <v>37</v>
      </c>
      <c r="B118" s="66" t="e">
        <f t="shared" ca="1" si="59"/>
        <v>#REF!</v>
      </c>
      <c r="C118" s="6" t="e">
        <f t="shared" ca="1" si="60"/>
        <v>#REF!</v>
      </c>
      <c r="D118" s="4" t="e">
        <f t="shared" ca="1" si="14"/>
        <v>#REF!</v>
      </c>
      <c r="E118" s="6" t="e">
        <f t="shared" ca="1" si="55"/>
        <v>#REF!</v>
      </c>
      <c r="F118" s="66" t="e">
        <f t="shared" ca="1" si="56"/>
        <v>#REF!</v>
      </c>
      <c r="G118" s="6" t="e">
        <f t="shared" ca="1" si="57"/>
        <v>#REF!</v>
      </c>
      <c r="H118" s="4" t="e">
        <f t="shared" ca="1" si="18"/>
        <v>#REF!</v>
      </c>
      <c r="I118" s="4" t="e">
        <f t="shared" ca="1" si="19"/>
        <v>#REF!</v>
      </c>
      <c r="J118" s="67">
        <f t="shared" si="20"/>
        <v>0</v>
      </c>
      <c r="K118" s="89"/>
      <c r="L118" s="68" t="e">
        <f ca="1">INDIRECT(CONCATENATE(TOTAL!B40,"!D6"))</f>
        <v>#REF!</v>
      </c>
      <c r="M118" s="5" t="e">
        <f t="shared" ca="1" si="61"/>
        <v>#REF!</v>
      </c>
      <c r="N118" s="69" t="e">
        <f t="shared" ca="1" si="62"/>
        <v>#REF!</v>
      </c>
      <c r="O118" s="4">
        <f t="shared" si="21"/>
        <v>0</v>
      </c>
      <c r="P118" s="5" t="e">
        <f t="shared" ca="1" si="63"/>
        <v>#REF!</v>
      </c>
      <c r="Q118" s="7" t="e">
        <f t="shared" ca="1" si="64"/>
        <v>#REF!</v>
      </c>
      <c r="R118" s="4" t="e">
        <f t="shared" ca="1" si="65"/>
        <v>#REF!</v>
      </c>
      <c r="S118" s="4" t="e">
        <f t="shared" ca="1" si="58"/>
        <v>#REF!</v>
      </c>
      <c r="T118" s="4" t="e">
        <f t="shared" ca="1" si="66"/>
        <v>#REF!</v>
      </c>
      <c r="U118" s="65"/>
    </row>
    <row r="119" spans="1:21" x14ac:dyDescent="0.25">
      <c r="A119" s="4">
        <v>38</v>
      </c>
      <c r="B119" s="66" t="e">
        <f t="shared" ca="1" si="59"/>
        <v>#REF!</v>
      </c>
      <c r="C119" s="6" t="e">
        <f t="shared" ca="1" si="60"/>
        <v>#REF!</v>
      </c>
      <c r="D119" s="4" t="e">
        <f t="shared" ca="1" si="14"/>
        <v>#REF!</v>
      </c>
      <c r="E119" s="6" t="e">
        <f t="shared" ca="1" si="55"/>
        <v>#REF!</v>
      </c>
      <c r="F119" s="66" t="e">
        <f t="shared" ca="1" si="56"/>
        <v>#REF!</v>
      </c>
      <c r="G119" s="6" t="e">
        <f t="shared" ca="1" si="57"/>
        <v>#REF!</v>
      </c>
      <c r="H119" s="4" t="e">
        <f t="shared" ca="1" si="18"/>
        <v>#REF!</v>
      </c>
      <c r="I119" s="4" t="e">
        <f t="shared" ca="1" si="19"/>
        <v>#REF!</v>
      </c>
      <c r="J119" s="67">
        <f t="shared" si="20"/>
        <v>0</v>
      </c>
      <c r="K119" s="89"/>
      <c r="L119" s="68" t="e">
        <f ca="1">INDIRECT(CONCATENATE(TOTAL!B41,"!D6"))</f>
        <v>#REF!</v>
      </c>
      <c r="M119" s="5" t="e">
        <f t="shared" ca="1" si="61"/>
        <v>#REF!</v>
      </c>
      <c r="N119" s="69" t="e">
        <f t="shared" ca="1" si="62"/>
        <v>#REF!</v>
      </c>
      <c r="O119" s="4">
        <f t="shared" si="21"/>
        <v>0</v>
      </c>
      <c r="P119" s="5" t="e">
        <f t="shared" ca="1" si="63"/>
        <v>#REF!</v>
      </c>
      <c r="Q119" s="7" t="e">
        <f t="shared" ca="1" si="64"/>
        <v>#REF!</v>
      </c>
      <c r="R119" s="4" t="e">
        <f t="shared" ca="1" si="65"/>
        <v>#REF!</v>
      </c>
      <c r="S119" s="4" t="e">
        <f t="shared" ca="1" si="58"/>
        <v>#REF!</v>
      </c>
      <c r="T119" s="4" t="e">
        <f t="shared" ca="1" si="66"/>
        <v>#REF!</v>
      </c>
      <c r="U119" s="65"/>
    </row>
    <row r="120" spans="1:21" x14ac:dyDescent="0.25">
      <c r="A120" s="4">
        <v>39</v>
      </c>
      <c r="B120" s="66" t="e">
        <f t="shared" ca="1" si="59"/>
        <v>#REF!</v>
      </c>
      <c r="C120" s="6" t="e">
        <f t="shared" ca="1" si="60"/>
        <v>#REF!</v>
      </c>
      <c r="D120" s="4" t="e">
        <f t="shared" ca="1" si="14"/>
        <v>#REF!</v>
      </c>
      <c r="E120" s="6" t="e">
        <f t="shared" ca="1" si="55"/>
        <v>#REF!</v>
      </c>
      <c r="F120" s="66" t="e">
        <f t="shared" ca="1" si="56"/>
        <v>#REF!</v>
      </c>
      <c r="G120" s="6" t="e">
        <f t="shared" ca="1" si="57"/>
        <v>#REF!</v>
      </c>
      <c r="H120" s="4" t="e">
        <f t="shared" ca="1" si="18"/>
        <v>#REF!</v>
      </c>
      <c r="I120" s="4" t="e">
        <f t="shared" ca="1" si="19"/>
        <v>#REF!</v>
      </c>
      <c r="J120" s="67">
        <f t="shared" si="20"/>
        <v>0</v>
      </c>
      <c r="K120" s="89"/>
      <c r="L120" s="68" t="e">
        <f ca="1">INDIRECT(CONCATENATE(TOTAL!B42,"!D6"))</f>
        <v>#REF!</v>
      </c>
      <c r="M120" s="5" t="e">
        <f t="shared" ca="1" si="61"/>
        <v>#REF!</v>
      </c>
      <c r="N120" s="69" t="e">
        <f t="shared" ca="1" si="62"/>
        <v>#REF!</v>
      </c>
      <c r="O120" s="4">
        <f t="shared" si="21"/>
        <v>0</v>
      </c>
      <c r="P120" s="5" t="e">
        <f t="shared" ca="1" si="63"/>
        <v>#REF!</v>
      </c>
      <c r="Q120" s="7" t="e">
        <f t="shared" ca="1" si="64"/>
        <v>#REF!</v>
      </c>
      <c r="R120" s="4" t="e">
        <f t="shared" ca="1" si="65"/>
        <v>#REF!</v>
      </c>
      <c r="S120" s="4" t="e">
        <f t="shared" ca="1" si="58"/>
        <v>#REF!</v>
      </c>
      <c r="T120" s="4" t="e">
        <f t="shared" ca="1" si="66"/>
        <v>#REF!</v>
      </c>
      <c r="U120" s="65"/>
    </row>
    <row r="121" spans="1:21" x14ac:dyDescent="0.25">
      <c r="A121" s="4">
        <v>40</v>
      </c>
      <c r="B121" s="66" t="e">
        <f t="shared" ca="1" si="59"/>
        <v>#REF!</v>
      </c>
      <c r="C121" s="6" t="e">
        <f t="shared" ca="1" si="60"/>
        <v>#REF!</v>
      </c>
      <c r="D121" s="4" t="e">
        <f t="shared" ca="1" si="14"/>
        <v>#REF!</v>
      </c>
      <c r="E121" s="6" t="e">
        <f t="shared" ca="1" si="55"/>
        <v>#REF!</v>
      </c>
      <c r="F121" s="66" t="e">
        <f t="shared" ca="1" si="56"/>
        <v>#REF!</v>
      </c>
      <c r="G121" s="6" t="e">
        <f t="shared" ca="1" si="57"/>
        <v>#REF!</v>
      </c>
      <c r="H121" s="4" t="e">
        <f t="shared" ca="1" si="18"/>
        <v>#REF!</v>
      </c>
      <c r="I121" s="4" t="e">
        <f t="shared" ca="1" si="19"/>
        <v>#REF!</v>
      </c>
      <c r="J121" s="67">
        <f t="shared" si="20"/>
        <v>0</v>
      </c>
      <c r="K121" s="89"/>
      <c r="L121" s="68" t="e">
        <f ca="1">INDIRECT(CONCATENATE(TOTAL!B43,"!D6"))</f>
        <v>#REF!</v>
      </c>
      <c r="M121" s="5" t="e">
        <f t="shared" ca="1" si="61"/>
        <v>#REF!</v>
      </c>
      <c r="N121" s="69" t="e">
        <f t="shared" ca="1" si="62"/>
        <v>#REF!</v>
      </c>
      <c r="O121" s="4">
        <f t="shared" si="21"/>
        <v>0</v>
      </c>
      <c r="P121" s="5" t="e">
        <f t="shared" ca="1" si="63"/>
        <v>#REF!</v>
      </c>
      <c r="Q121" s="7" t="e">
        <f t="shared" ca="1" si="64"/>
        <v>#REF!</v>
      </c>
      <c r="R121" s="4" t="e">
        <f t="shared" ca="1" si="65"/>
        <v>#REF!</v>
      </c>
      <c r="S121" s="4" t="e">
        <f t="shared" ca="1" si="58"/>
        <v>#REF!</v>
      </c>
      <c r="T121" s="4" t="e">
        <f t="shared" ca="1" si="66"/>
        <v>#REF!</v>
      </c>
      <c r="U121" s="65"/>
    </row>
    <row r="122" spans="1:21" x14ac:dyDescent="0.25">
      <c r="A122" s="4">
        <v>41</v>
      </c>
      <c r="B122" s="66" t="e">
        <f t="shared" ca="1" si="59"/>
        <v>#REF!</v>
      </c>
      <c r="C122" s="6" t="e">
        <f t="shared" ca="1" si="60"/>
        <v>#REF!</v>
      </c>
      <c r="D122" s="4" t="e">
        <f t="shared" ca="1" si="14"/>
        <v>#REF!</v>
      </c>
      <c r="E122" s="6" t="e">
        <f t="shared" ca="1" si="55"/>
        <v>#REF!</v>
      </c>
      <c r="F122" s="66" t="e">
        <f t="shared" ca="1" si="56"/>
        <v>#REF!</v>
      </c>
      <c r="G122" s="6" t="e">
        <f t="shared" ca="1" si="57"/>
        <v>#REF!</v>
      </c>
      <c r="H122" s="4" t="e">
        <f t="shared" ca="1" si="18"/>
        <v>#REF!</v>
      </c>
      <c r="I122" s="4" t="e">
        <f t="shared" ca="1" si="19"/>
        <v>#REF!</v>
      </c>
      <c r="J122" s="67">
        <f t="shared" si="20"/>
        <v>0</v>
      </c>
      <c r="K122" s="89"/>
      <c r="L122" s="68" t="e">
        <f ca="1">INDIRECT(CONCATENATE(TOTAL!B44,"!D6"))</f>
        <v>#REF!</v>
      </c>
      <c r="M122" s="5" t="e">
        <f t="shared" ca="1" si="61"/>
        <v>#REF!</v>
      </c>
      <c r="N122" s="69" t="e">
        <f t="shared" ca="1" si="62"/>
        <v>#REF!</v>
      </c>
      <c r="O122" s="4">
        <f t="shared" si="21"/>
        <v>0</v>
      </c>
      <c r="P122" s="5" t="e">
        <f t="shared" ca="1" si="63"/>
        <v>#REF!</v>
      </c>
      <c r="Q122" s="7" t="e">
        <f t="shared" ca="1" si="64"/>
        <v>#REF!</v>
      </c>
      <c r="R122" s="4" t="e">
        <f t="shared" ca="1" si="65"/>
        <v>#REF!</v>
      </c>
      <c r="S122" s="4" t="e">
        <f t="shared" ca="1" si="58"/>
        <v>#REF!</v>
      </c>
      <c r="T122" s="4" t="e">
        <f t="shared" ca="1" si="66"/>
        <v>#REF!</v>
      </c>
      <c r="U122" s="65"/>
    </row>
    <row r="123" spans="1:21" x14ac:dyDescent="0.25">
      <c r="A123" s="4">
        <v>42</v>
      </c>
      <c r="B123" s="66" t="e">
        <f t="shared" ca="1" si="59"/>
        <v>#REF!</v>
      </c>
      <c r="C123" s="6" t="e">
        <f t="shared" ca="1" si="60"/>
        <v>#REF!</v>
      </c>
      <c r="D123" s="4" t="e">
        <f t="shared" ca="1" si="14"/>
        <v>#REF!</v>
      </c>
      <c r="E123" s="6" t="e">
        <f t="shared" ca="1" si="55"/>
        <v>#REF!</v>
      </c>
      <c r="F123" s="66" t="e">
        <f t="shared" ca="1" si="56"/>
        <v>#REF!</v>
      </c>
      <c r="G123" s="6" t="e">
        <f t="shared" ca="1" si="57"/>
        <v>#REF!</v>
      </c>
      <c r="H123" s="4" t="e">
        <f t="shared" ca="1" si="18"/>
        <v>#REF!</v>
      </c>
      <c r="I123" s="4" t="e">
        <f t="shared" ca="1" si="19"/>
        <v>#REF!</v>
      </c>
      <c r="J123" s="67">
        <f t="shared" si="20"/>
        <v>0</v>
      </c>
      <c r="K123" s="89"/>
      <c r="L123" s="68" t="e">
        <f ca="1">INDIRECT(CONCATENATE(TOTAL!B45,"!D6"))</f>
        <v>#REF!</v>
      </c>
      <c r="M123" s="5" t="e">
        <f t="shared" ca="1" si="61"/>
        <v>#REF!</v>
      </c>
      <c r="N123" s="69" t="e">
        <f t="shared" ca="1" si="62"/>
        <v>#REF!</v>
      </c>
      <c r="O123" s="4">
        <f t="shared" si="21"/>
        <v>0</v>
      </c>
      <c r="P123" s="5" t="e">
        <f t="shared" ca="1" si="63"/>
        <v>#REF!</v>
      </c>
      <c r="Q123" s="7" t="e">
        <f t="shared" ca="1" si="64"/>
        <v>#REF!</v>
      </c>
      <c r="R123" s="4" t="e">
        <f t="shared" ca="1" si="65"/>
        <v>#REF!</v>
      </c>
      <c r="S123" s="4" t="e">
        <f t="shared" ca="1" si="58"/>
        <v>#REF!</v>
      </c>
      <c r="T123" s="4" t="e">
        <f t="shared" ca="1" si="66"/>
        <v>#REF!</v>
      </c>
      <c r="U123" s="65"/>
    </row>
    <row r="124" spans="1:21" x14ac:dyDescent="0.25">
      <c r="A124" s="4">
        <v>43</v>
      </c>
      <c r="B124" s="66" t="e">
        <f t="shared" ca="1" si="59"/>
        <v>#REF!</v>
      </c>
      <c r="C124" s="6" t="e">
        <f t="shared" ca="1" si="60"/>
        <v>#REF!</v>
      </c>
      <c r="D124" s="4" t="e">
        <f t="shared" ca="1" si="14"/>
        <v>#REF!</v>
      </c>
      <c r="E124" s="6" t="e">
        <f t="shared" ca="1" si="55"/>
        <v>#REF!</v>
      </c>
      <c r="F124" s="66" t="e">
        <f t="shared" ca="1" si="56"/>
        <v>#REF!</v>
      </c>
      <c r="G124" s="6" t="e">
        <f t="shared" ca="1" si="57"/>
        <v>#REF!</v>
      </c>
      <c r="H124" s="4" t="e">
        <f t="shared" ca="1" si="18"/>
        <v>#REF!</v>
      </c>
      <c r="I124" s="4" t="e">
        <f t="shared" ca="1" si="19"/>
        <v>#REF!</v>
      </c>
      <c r="J124" s="67">
        <f t="shared" si="20"/>
        <v>0</v>
      </c>
      <c r="K124" s="89"/>
      <c r="L124" s="68" t="e">
        <f ca="1">INDIRECT(CONCATENATE(TOTAL!B46,"!D6"))</f>
        <v>#REF!</v>
      </c>
      <c r="M124" s="5" t="e">
        <f t="shared" ca="1" si="61"/>
        <v>#REF!</v>
      </c>
      <c r="N124" s="69" t="e">
        <f t="shared" ca="1" si="62"/>
        <v>#REF!</v>
      </c>
      <c r="O124" s="4">
        <f t="shared" si="21"/>
        <v>0</v>
      </c>
      <c r="P124" s="5" t="e">
        <f t="shared" ca="1" si="63"/>
        <v>#REF!</v>
      </c>
      <c r="Q124" s="7" t="e">
        <f t="shared" ca="1" si="64"/>
        <v>#REF!</v>
      </c>
      <c r="R124" s="4" t="e">
        <f t="shared" ca="1" si="65"/>
        <v>#REF!</v>
      </c>
      <c r="S124" s="4" t="e">
        <f t="shared" ca="1" si="58"/>
        <v>#REF!</v>
      </c>
      <c r="T124" s="4" t="e">
        <f t="shared" ca="1" si="66"/>
        <v>#REF!</v>
      </c>
      <c r="U124" s="65"/>
    </row>
    <row r="125" spans="1:21" x14ac:dyDescent="0.25">
      <c r="A125" s="4">
        <v>44</v>
      </c>
      <c r="B125" s="66" t="e">
        <f t="shared" ca="1" si="59"/>
        <v>#REF!</v>
      </c>
      <c r="C125" s="6" t="e">
        <f t="shared" ca="1" si="60"/>
        <v>#REF!</v>
      </c>
      <c r="D125" s="4" t="e">
        <f t="shared" ca="1" si="14"/>
        <v>#REF!</v>
      </c>
      <c r="E125" s="6" t="e">
        <f t="shared" ca="1" si="55"/>
        <v>#REF!</v>
      </c>
      <c r="F125" s="66" t="e">
        <f t="shared" ca="1" si="56"/>
        <v>#REF!</v>
      </c>
      <c r="G125" s="6" t="e">
        <f t="shared" ca="1" si="57"/>
        <v>#REF!</v>
      </c>
      <c r="H125" s="4" t="e">
        <f t="shared" ca="1" si="18"/>
        <v>#REF!</v>
      </c>
      <c r="I125" s="4" t="e">
        <f t="shared" ca="1" si="19"/>
        <v>#REF!</v>
      </c>
      <c r="J125" s="67">
        <f t="shared" si="20"/>
        <v>0</v>
      </c>
      <c r="K125" s="89"/>
      <c r="L125" s="68" t="e">
        <f ca="1">INDIRECT(CONCATENATE(TOTAL!B47,"!D6"))</f>
        <v>#REF!</v>
      </c>
      <c r="M125" s="5" t="e">
        <f t="shared" ca="1" si="61"/>
        <v>#REF!</v>
      </c>
      <c r="N125" s="69" t="e">
        <f t="shared" ca="1" si="62"/>
        <v>#REF!</v>
      </c>
      <c r="O125" s="4">
        <f t="shared" si="21"/>
        <v>0</v>
      </c>
      <c r="P125" s="5" t="e">
        <f t="shared" ca="1" si="63"/>
        <v>#REF!</v>
      </c>
      <c r="Q125" s="7" t="e">
        <f t="shared" ca="1" si="64"/>
        <v>#REF!</v>
      </c>
      <c r="R125" s="4" t="e">
        <f t="shared" ca="1" si="65"/>
        <v>#REF!</v>
      </c>
      <c r="S125" s="4" t="e">
        <f t="shared" ca="1" si="58"/>
        <v>#REF!</v>
      </c>
      <c r="T125" s="4" t="e">
        <f t="shared" ca="1" si="66"/>
        <v>#REF!</v>
      </c>
      <c r="U125" s="65"/>
    </row>
    <row r="126" spans="1:21" x14ac:dyDescent="0.25">
      <c r="A126" s="4">
        <v>45</v>
      </c>
      <c r="B126" s="66" t="e">
        <f t="shared" ca="1" si="59"/>
        <v>#REF!</v>
      </c>
      <c r="C126" s="6" t="e">
        <f t="shared" ca="1" si="60"/>
        <v>#REF!</v>
      </c>
      <c r="D126" s="4" t="e">
        <f t="shared" ca="1" si="14"/>
        <v>#REF!</v>
      </c>
      <c r="E126" s="6" t="e">
        <f t="shared" ca="1" si="55"/>
        <v>#REF!</v>
      </c>
      <c r="F126" s="66" t="e">
        <f t="shared" ca="1" si="56"/>
        <v>#REF!</v>
      </c>
      <c r="G126" s="6" t="e">
        <f t="shared" ca="1" si="57"/>
        <v>#REF!</v>
      </c>
      <c r="H126" s="4" t="e">
        <f t="shared" ca="1" si="18"/>
        <v>#REF!</v>
      </c>
      <c r="I126" s="4" t="e">
        <f t="shared" ca="1" si="19"/>
        <v>#REF!</v>
      </c>
      <c r="J126" s="67">
        <f t="shared" si="20"/>
        <v>0</v>
      </c>
      <c r="K126" s="89"/>
      <c r="L126" s="68" t="e">
        <f ca="1">INDIRECT(CONCATENATE(TOTAL!B48,"!D6"))</f>
        <v>#REF!</v>
      </c>
      <c r="M126" s="5" t="e">
        <f t="shared" ca="1" si="61"/>
        <v>#REF!</v>
      </c>
      <c r="N126" s="69" t="e">
        <f t="shared" ca="1" si="62"/>
        <v>#REF!</v>
      </c>
      <c r="O126" s="4">
        <f t="shared" si="21"/>
        <v>0</v>
      </c>
      <c r="P126" s="5" t="e">
        <f t="shared" ca="1" si="63"/>
        <v>#REF!</v>
      </c>
      <c r="Q126" s="7" t="e">
        <f t="shared" ca="1" si="64"/>
        <v>#REF!</v>
      </c>
      <c r="R126" s="4" t="e">
        <f t="shared" ca="1" si="65"/>
        <v>#REF!</v>
      </c>
      <c r="S126" s="4" t="e">
        <f t="shared" ca="1" si="58"/>
        <v>#REF!</v>
      </c>
      <c r="T126" s="4" t="e">
        <f t="shared" ca="1" si="66"/>
        <v>#REF!</v>
      </c>
      <c r="U126" s="65"/>
    </row>
    <row r="127" spans="1:21" x14ac:dyDescent="0.25">
      <c r="A127" s="4">
        <v>46</v>
      </c>
      <c r="B127" s="66" t="e">
        <f t="shared" ca="1" si="59"/>
        <v>#REF!</v>
      </c>
      <c r="C127" s="6" t="e">
        <f t="shared" ca="1" si="60"/>
        <v>#REF!</v>
      </c>
      <c r="D127" s="4" t="e">
        <f t="shared" ca="1" si="14"/>
        <v>#REF!</v>
      </c>
      <c r="E127" s="6" t="e">
        <f t="shared" ca="1" si="55"/>
        <v>#REF!</v>
      </c>
      <c r="F127" s="66" t="e">
        <f t="shared" ca="1" si="56"/>
        <v>#REF!</v>
      </c>
      <c r="G127" s="6" t="e">
        <f t="shared" ca="1" si="57"/>
        <v>#REF!</v>
      </c>
      <c r="H127" s="4" t="e">
        <f t="shared" ca="1" si="18"/>
        <v>#REF!</v>
      </c>
      <c r="I127" s="4" t="e">
        <f t="shared" ca="1" si="19"/>
        <v>#REF!</v>
      </c>
      <c r="J127" s="67">
        <f t="shared" si="20"/>
        <v>0</v>
      </c>
      <c r="K127" s="89"/>
      <c r="L127" s="68" t="e">
        <f ca="1">INDIRECT(CONCATENATE(TOTAL!B49,"!D6"))</f>
        <v>#REF!</v>
      </c>
      <c r="M127" s="5" t="e">
        <f t="shared" ca="1" si="61"/>
        <v>#REF!</v>
      </c>
      <c r="N127" s="69" t="e">
        <f t="shared" ca="1" si="62"/>
        <v>#REF!</v>
      </c>
      <c r="O127" s="4">
        <f t="shared" si="21"/>
        <v>0</v>
      </c>
      <c r="P127" s="5" t="e">
        <f t="shared" ca="1" si="63"/>
        <v>#REF!</v>
      </c>
      <c r="Q127" s="7" t="e">
        <f t="shared" ca="1" si="64"/>
        <v>#REF!</v>
      </c>
      <c r="R127" s="4" t="e">
        <f t="shared" ca="1" si="65"/>
        <v>#REF!</v>
      </c>
      <c r="S127" s="4" t="e">
        <f t="shared" ca="1" si="58"/>
        <v>#REF!</v>
      </c>
      <c r="T127" s="4" t="e">
        <f t="shared" ca="1" si="66"/>
        <v>#REF!</v>
      </c>
      <c r="U127" s="65"/>
    </row>
    <row r="128" spans="1:21" x14ac:dyDescent="0.25">
      <c r="A128" s="4">
        <v>47</v>
      </c>
      <c r="B128" s="66" t="e">
        <f t="shared" ca="1" si="59"/>
        <v>#REF!</v>
      </c>
      <c r="C128" s="6" t="e">
        <f t="shared" ca="1" si="60"/>
        <v>#REF!</v>
      </c>
      <c r="D128" s="4" t="e">
        <f t="shared" ca="1" si="14"/>
        <v>#REF!</v>
      </c>
      <c r="E128" s="6" t="e">
        <f t="shared" ca="1" si="55"/>
        <v>#REF!</v>
      </c>
      <c r="F128" s="66" t="e">
        <f t="shared" ca="1" si="56"/>
        <v>#REF!</v>
      </c>
      <c r="G128" s="6" t="e">
        <f t="shared" ca="1" si="57"/>
        <v>#REF!</v>
      </c>
      <c r="H128" s="4" t="e">
        <f t="shared" ca="1" si="18"/>
        <v>#REF!</v>
      </c>
      <c r="I128" s="4" t="e">
        <f t="shared" ca="1" si="19"/>
        <v>#REF!</v>
      </c>
      <c r="J128" s="67">
        <f t="shared" si="20"/>
        <v>0</v>
      </c>
      <c r="K128" s="89"/>
      <c r="L128" s="68" t="e">
        <f ca="1">INDIRECT(CONCATENATE(TOTAL!B50,"!D6"))</f>
        <v>#REF!</v>
      </c>
      <c r="M128" s="5" t="e">
        <f t="shared" ca="1" si="61"/>
        <v>#REF!</v>
      </c>
      <c r="N128" s="69" t="e">
        <f t="shared" ca="1" si="62"/>
        <v>#REF!</v>
      </c>
      <c r="O128" s="4">
        <f t="shared" si="21"/>
        <v>0</v>
      </c>
      <c r="P128" s="5" t="e">
        <f t="shared" ca="1" si="63"/>
        <v>#REF!</v>
      </c>
      <c r="Q128" s="7" t="e">
        <f t="shared" ca="1" si="64"/>
        <v>#REF!</v>
      </c>
      <c r="R128" s="4" t="e">
        <f t="shared" ca="1" si="65"/>
        <v>#REF!</v>
      </c>
      <c r="S128" s="4" t="e">
        <f t="shared" ca="1" si="58"/>
        <v>#REF!</v>
      </c>
      <c r="T128" s="4" t="e">
        <f t="shared" ca="1" si="66"/>
        <v>#REF!</v>
      </c>
      <c r="U128" s="65"/>
    </row>
    <row r="129" spans="1:21" x14ac:dyDescent="0.25">
      <c r="A129" s="4">
        <v>48</v>
      </c>
      <c r="B129" s="66" t="e">
        <f t="shared" ca="1" si="59"/>
        <v>#REF!</v>
      </c>
      <c r="C129" s="6" t="e">
        <f t="shared" ca="1" si="60"/>
        <v>#REF!</v>
      </c>
      <c r="D129" s="4" t="e">
        <f t="shared" ca="1" si="14"/>
        <v>#REF!</v>
      </c>
      <c r="E129" s="6" t="e">
        <f t="shared" ca="1" si="55"/>
        <v>#REF!</v>
      </c>
      <c r="F129" s="66" t="e">
        <f t="shared" ca="1" si="56"/>
        <v>#REF!</v>
      </c>
      <c r="G129" s="6" t="e">
        <f t="shared" ca="1" si="57"/>
        <v>#REF!</v>
      </c>
      <c r="H129" s="4" t="e">
        <f t="shared" ca="1" si="18"/>
        <v>#REF!</v>
      </c>
      <c r="I129" s="4" t="e">
        <f t="shared" ca="1" si="19"/>
        <v>#REF!</v>
      </c>
      <c r="J129" s="67">
        <f t="shared" si="20"/>
        <v>0</v>
      </c>
      <c r="K129" s="89"/>
      <c r="L129" s="68" t="e">
        <f ca="1">INDIRECT(CONCATENATE(TOTAL!B51,"!D6"))</f>
        <v>#REF!</v>
      </c>
      <c r="M129" s="5" t="e">
        <f t="shared" ca="1" si="61"/>
        <v>#REF!</v>
      </c>
      <c r="N129" s="69" t="e">
        <f t="shared" ca="1" si="62"/>
        <v>#REF!</v>
      </c>
      <c r="O129" s="4">
        <f t="shared" si="21"/>
        <v>0</v>
      </c>
      <c r="P129" s="5" t="e">
        <f t="shared" ca="1" si="63"/>
        <v>#REF!</v>
      </c>
      <c r="Q129" s="7" t="e">
        <f t="shared" ca="1" si="64"/>
        <v>#REF!</v>
      </c>
      <c r="R129" s="4" t="e">
        <f t="shared" ca="1" si="65"/>
        <v>#REF!</v>
      </c>
      <c r="S129" s="4" t="e">
        <f t="shared" ca="1" si="58"/>
        <v>#REF!</v>
      </c>
      <c r="T129" s="4" t="e">
        <f t="shared" ca="1" si="66"/>
        <v>#REF!</v>
      </c>
      <c r="U129" s="65"/>
    </row>
    <row r="130" spans="1:21" x14ac:dyDescent="0.25">
      <c r="A130" s="4">
        <v>49</v>
      </c>
      <c r="B130" s="66" t="e">
        <f t="shared" ca="1" si="59"/>
        <v>#REF!</v>
      </c>
      <c r="C130" s="6" t="e">
        <f t="shared" ca="1" si="60"/>
        <v>#REF!</v>
      </c>
      <c r="D130" s="4" t="e">
        <f t="shared" ca="1" si="14"/>
        <v>#REF!</v>
      </c>
      <c r="E130" s="6" t="e">
        <f t="shared" ca="1" si="55"/>
        <v>#REF!</v>
      </c>
      <c r="F130" s="66" t="e">
        <f t="shared" ca="1" si="56"/>
        <v>#REF!</v>
      </c>
      <c r="G130" s="6" t="e">
        <f t="shared" ca="1" si="57"/>
        <v>#REF!</v>
      </c>
      <c r="H130" s="4" t="e">
        <f t="shared" ca="1" si="18"/>
        <v>#REF!</v>
      </c>
      <c r="I130" s="4" t="e">
        <f t="shared" ca="1" si="19"/>
        <v>#REF!</v>
      </c>
      <c r="J130" s="67">
        <f t="shared" si="20"/>
        <v>0</v>
      </c>
      <c r="K130" s="89"/>
      <c r="L130" s="68" t="e">
        <f ca="1">INDIRECT(CONCATENATE(TOTAL!B52,"!D6"))</f>
        <v>#REF!</v>
      </c>
      <c r="M130" s="5" t="e">
        <f t="shared" ca="1" si="61"/>
        <v>#REF!</v>
      </c>
      <c r="N130" s="69" t="e">
        <f t="shared" ca="1" si="62"/>
        <v>#REF!</v>
      </c>
      <c r="O130" s="4">
        <f t="shared" si="21"/>
        <v>0</v>
      </c>
      <c r="P130" s="5" t="e">
        <f t="shared" ca="1" si="63"/>
        <v>#REF!</v>
      </c>
      <c r="Q130" s="7" t="e">
        <f t="shared" ca="1" si="64"/>
        <v>#REF!</v>
      </c>
      <c r="R130" s="4" t="e">
        <f t="shared" ca="1" si="65"/>
        <v>#REF!</v>
      </c>
      <c r="S130" s="4" t="e">
        <f t="shared" ca="1" si="58"/>
        <v>#REF!</v>
      </c>
      <c r="T130" s="4" t="e">
        <f t="shared" ca="1" si="66"/>
        <v>#REF!</v>
      </c>
      <c r="U130" s="65"/>
    </row>
    <row r="131" spans="1:21" x14ac:dyDescent="0.25">
      <c r="A131" s="4">
        <v>50</v>
      </c>
      <c r="B131" s="66" t="e">
        <f t="shared" ca="1" si="59"/>
        <v>#REF!</v>
      </c>
      <c r="C131" s="6" t="e">
        <f t="shared" ca="1" si="60"/>
        <v>#REF!</v>
      </c>
      <c r="D131" s="4" t="e">
        <f t="shared" ca="1" si="14"/>
        <v>#REF!</v>
      </c>
      <c r="E131" s="6" t="e">
        <f t="shared" ca="1" si="55"/>
        <v>#REF!</v>
      </c>
      <c r="F131" s="66" t="e">
        <f t="shared" ca="1" si="56"/>
        <v>#REF!</v>
      </c>
      <c r="G131" s="6" t="e">
        <f t="shared" ca="1" si="57"/>
        <v>#REF!</v>
      </c>
      <c r="H131" s="4" t="e">
        <f t="shared" ca="1" si="18"/>
        <v>#REF!</v>
      </c>
      <c r="I131" s="4" t="e">
        <f t="shared" ca="1" si="19"/>
        <v>#REF!</v>
      </c>
      <c r="J131" s="67">
        <f t="shared" si="20"/>
        <v>0</v>
      </c>
      <c r="K131" s="89"/>
      <c r="L131" s="68" t="e">
        <f ca="1">INDIRECT(CONCATENATE(TOTAL!B53,"!D6"))</f>
        <v>#REF!</v>
      </c>
      <c r="M131" s="5" t="e">
        <f t="shared" ca="1" si="61"/>
        <v>#REF!</v>
      </c>
      <c r="N131" s="69" t="e">
        <f t="shared" ca="1" si="62"/>
        <v>#REF!</v>
      </c>
      <c r="O131" s="4">
        <f t="shared" si="21"/>
        <v>0</v>
      </c>
      <c r="P131" s="5" t="e">
        <f t="shared" ca="1" si="63"/>
        <v>#REF!</v>
      </c>
      <c r="Q131" s="7" t="e">
        <f t="shared" ca="1" si="64"/>
        <v>#REF!</v>
      </c>
      <c r="R131" s="4" t="e">
        <f t="shared" ca="1" si="65"/>
        <v>#REF!</v>
      </c>
      <c r="S131" s="4" t="e">
        <f t="shared" ca="1" si="58"/>
        <v>#REF!</v>
      </c>
      <c r="T131" s="4" t="e">
        <f t="shared" ca="1" si="66"/>
        <v>#REF!</v>
      </c>
      <c r="U131" s="65"/>
    </row>
    <row r="132" spans="1:21" x14ac:dyDescent="0.25">
      <c r="A132" s="4">
        <v>51</v>
      </c>
      <c r="B132" s="66" t="e">
        <f t="shared" ca="1" si="59"/>
        <v>#REF!</v>
      </c>
      <c r="C132" s="6" t="e">
        <f t="shared" ca="1" si="60"/>
        <v>#REF!</v>
      </c>
      <c r="D132" s="4" t="e">
        <f t="shared" ca="1" si="14"/>
        <v>#REF!</v>
      </c>
      <c r="E132" s="6" t="e">
        <f t="shared" ca="1" si="55"/>
        <v>#REF!</v>
      </c>
      <c r="F132" s="66" t="e">
        <f t="shared" ca="1" si="56"/>
        <v>#REF!</v>
      </c>
      <c r="G132" s="6" t="e">
        <f t="shared" ca="1" si="57"/>
        <v>#REF!</v>
      </c>
      <c r="H132" s="4" t="e">
        <f t="shared" ca="1" si="18"/>
        <v>#REF!</v>
      </c>
      <c r="I132" s="4" t="e">
        <f t="shared" ca="1" si="19"/>
        <v>#REF!</v>
      </c>
      <c r="J132" s="67">
        <f t="shared" si="20"/>
        <v>0</v>
      </c>
      <c r="K132" s="89"/>
      <c r="L132" s="68" t="e">
        <f ca="1">INDIRECT(CONCATENATE(TOTAL!B54,"!D6"))</f>
        <v>#REF!</v>
      </c>
      <c r="M132" s="5" t="e">
        <f t="shared" ca="1" si="61"/>
        <v>#REF!</v>
      </c>
      <c r="N132" s="69" t="e">
        <f t="shared" ca="1" si="62"/>
        <v>#REF!</v>
      </c>
      <c r="O132" s="4">
        <f t="shared" si="21"/>
        <v>0</v>
      </c>
      <c r="P132" s="5" t="e">
        <f t="shared" ca="1" si="63"/>
        <v>#REF!</v>
      </c>
      <c r="Q132" s="7" t="e">
        <f t="shared" ca="1" si="64"/>
        <v>#REF!</v>
      </c>
      <c r="R132" s="4" t="e">
        <f t="shared" ca="1" si="65"/>
        <v>#REF!</v>
      </c>
      <c r="S132" s="4" t="e">
        <f t="shared" ca="1" si="58"/>
        <v>#REF!</v>
      </c>
      <c r="T132" s="4" t="e">
        <f t="shared" ca="1" si="66"/>
        <v>#REF!</v>
      </c>
      <c r="U132" s="65"/>
    </row>
    <row r="133" spans="1:21" x14ac:dyDescent="0.25">
      <c r="A133" s="4">
        <v>52</v>
      </c>
      <c r="B133" s="66" t="e">
        <f t="shared" ca="1" si="59"/>
        <v>#REF!</v>
      </c>
      <c r="C133" s="6" t="e">
        <f t="shared" ca="1" si="60"/>
        <v>#REF!</v>
      </c>
      <c r="D133" s="4" t="e">
        <f t="shared" ca="1" si="14"/>
        <v>#REF!</v>
      </c>
      <c r="E133" s="6" t="e">
        <f t="shared" ca="1" si="55"/>
        <v>#REF!</v>
      </c>
      <c r="F133" s="66" t="e">
        <f t="shared" ca="1" si="56"/>
        <v>#REF!</v>
      </c>
      <c r="G133" s="6" t="e">
        <f t="shared" ca="1" si="57"/>
        <v>#REF!</v>
      </c>
      <c r="H133" s="4" t="e">
        <f t="shared" ca="1" si="18"/>
        <v>#REF!</v>
      </c>
      <c r="I133" s="4" t="e">
        <f t="shared" ca="1" si="19"/>
        <v>#REF!</v>
      </c>
      <c r="J133" s="67">
        <f t="shared" si="20"/>
        <v>0</v>
      </c>
      <c r="K133" s="89"/>
      <c r="L133" s="68" t="e">
        <f ca="1">INDIRECT(CONCATENATE(TOTAL!B55,"!D6"))</f>
        <v>#REF!</v>
      </c>
      <c r="M133" s="5" t="e">
        <f t="shared" ca="1" si="61"/>
        <v>#REF!</v>
      </c>
      <c r="N133" s="69" t="e">
        <f t="shared" ca="1" si="62"/>
        <v>#REF!</v>
      </c>
      <c r="O133" s="4">
        <f t="shared" si="21"/>
        <v>0</v>
      </c>
      <c r="P133" s="5" t="e">
        <f t="shared" ca="1" si="63"/>
        <v>#REF!</v>
      </c>
      <c r="Q133" s="7" t="e">
        <f t="shared" ca="1" si="64"/>
        <v>#REF!</v>
      </c>
      <c r="R133" s="4" t="e">
        <f t="shared" ca="1" si="65"/>
        <v>#REF!</v>
      </c>
      <c r="S133" s="4" t="e">
        <f t="shared" ca="1" si="58"/>
        <v>#REF!</v>
      </c>
      <c r="T133" s="4" t="e">
        <f t="shared" ca="1" si="66"/>
        <v>#REF!</v>
      </c>
      <c r="U133" s="65"/>
    </row>
    <row r="134" spans="1:21" x14ac:dyDescent="0.25">
      <c r="A134" s="4">
        <v>53</v>
      </c>
      <c r="B134" s="66" t="e">
        <f t="shared" ca="1" si="59"/>
        <v>#REF!</v>
      </c>
      <c r="C134" s="6" t="e">
        <f t="shared" ca="1" si="60"/>
        <v>#REF!</v>
      </c>
      <c r="D134" s="4" t="e">
        <f t="shared" ca="1" si="14"/>
        <v>#REF!</v>
      </c>
      <c r="E134" s="6" t="e">
        <f t="shared" ca="1" si="55"/>
        <v>#REF!</v>
      </c>
      <c r="F134" s="66" t="e">
        <f t="shared" ca="1" si="56"/>
        <v>#REF!</v>
      </c>
      <c r="G134" s="6" t="e">
        <f t="shared" ca="1" si="57"/>
        <v>#REF!</v>
      </c>
      <c r="H134" s="4" t="e">
        <f t="shared" ca="1" si="18"/>
        <v>#REF!</v>
      </c>
      <c r="I134" s="4" t="e">
        <f t="shared" ca="1" si="19"/>
        <v>#REF!</v>
      </c>
      <c r="J134" s="67">
        <f t="shared" si="20"/>
        <v>0</v>
      </c>
      <c r="K134" s="89"/>
      <c r="L134" s="68" t="e">
        <f ca="1">INDIRECT(CONCATENATE(TOTAL!B56,"!D6"))</f>
        <v>#REF!</v>
      </c>
      <c r="M134" s="5" t="e">
        <f t="shared" ca="1" si="61"/>
        <v>#REF!</v>
      </c>
      <c r="N134" s="69" t="e">
        <f t="shared" ca="1" si="62"/>
        <v>#REF!</v>
      </c>
      <c r="O134" s="4">
        <f t="shared" si="21"/>
        <v>0</v>
      </c>
      <c r="P134" s="5" t="e">
        <f t="shared" ca="1" si="63"/>
        <v>#REF!</v>
      </c>
      <c r="Q134" s="7" t="e">
        <f t="shared" ca="1" si="64"/>
        <v>#REF!</v>
      </c>
      <c r="R134" s="4" t="e">
        <f t="shared" ca="1" si="65"/>
        <v>#REF!</v>
      </c>
      <c r="S134" s="4" t="e">
        <f t="shared" ca="1" si="58"/>
        <v>#REF!</v>
      </c>
      <c r="T134" s="4" t="e">
        <f t="shared" ca="1" si="66"/>
        <v>#REF!</v>
      </c>
      <c r="U134" s="65"/>
    </row>
    <row r="135" spans="1:21" x14ac:dyDescent="0.25">
      <c r="A135" s="4">
        <v>54</v>
      </c>
      <c r="B135" s="66" t="e">
        <f t="shared" ca="1" si="59"/>
        <v>#REF!</v>
      </c>
      <c r="C135" s="6" t="e">
        <f t="shared" ca="1" si="60"/>
        <v>#REF!</v>
      </c>
      <c r="D135" s="4" t="e">
        <f t="shared" ca="1" si="14"/>
        <v>#REF!</v>
      </c>
      <c r="E135" s="6" t="e">
        <f t="shared" ca="1" si="55"/>
        <v>#REF!</v>
      </c>
      <c r="F135" s="66" t="e">
        <f t="shared" ca="1" si="56"/>
        <v>#REF!</v>
      </c>
      <c r="G135" s="6" t="e">
        <f t="shared" ca="1" si="57"/>
        <v>#REF!</v>
      </c>
      <c r="H135" s="4" t="e">
        <f t="shared" ca="1" si="18"/>
        <v>#REF!</v>
      </c>
      <c r="I135" s="4" t="e">
        <f t="shared" ca="1" si="19"/>
        <v>#REF!</v>
      </c>
      <c r="J135" s="67">
        <f t="shared" si="20"/>
        <v>0</v>
      </c>
      <c r="K135" s="89"/>
      <c r="L135" s="68" t="e">
        <f ca="1">INDIRECT(CONCATENATE(TOTAL!B57,"!D6"))</f>
        <v>#REF!</v>
      </c>
      <c r="M135" s="5" t="e">
        <f t="shared" ca="1" si="61"/>
        <v>#REF!</v>
      </c>
      <c r="N135" s="69" t="e">
        <f t="shared" ca="1" si="62"/>
        <v>#REF!</v>
      </c>
      <c r="O135" s="4">
        <f t="shared" si="21"/>
        <v>0</v>
      </c>
      <c r="P135" s="5" t="e">
        <f t="shared" ca="1" si="63"/>
        <v>#REF!</v>
      </c>
      <c r="Q135" s="7" t="e">
        <f t="shared" ca="1" si="64"/>
        <v>#REF!</v>
      </c>
      <c r="R135" s="4" t="e">
        <f t="shared" ca="1" si="65"/>
        <v>#REF!</v>
      </c>
      <c r="S135" s="4" t="e">
        <f t="shared" ca="1" si="58"/>
        <v>#REF!</v>
      </c>
      <c r="T135" s="4" t="e">
        <f t="shared" ca="1" si="66"/>
        <v>#REF!</v>
      </c>
      <c r="U135" s="65"/>
    </row>
    <row r="136" spans="1:21" x14ac:dyDescent="0.25">
      <c r="A136" s="4">
        <v>55</v>
      </c>
      <c r="B136" s="66" t="e">
        <f t="shared" ca="1" si="59"/>
        <v>#REF!</v>
      </c>
      <c r="C136" s="6" t="e">
        <f t="shared" ca="1" si="60"/>
        <v>#REF!</v>
      </c>
      <c r="D136" s="4" t="e">
        <f t="shared" ca="1" si="14"/>
        <v>#REF!</v>
      </c>
      <c r="E136" s="6" t="e">
        <f t="shared" ca="1" si="55"/>
        <v>#REF!</v>
      </c>
      <c r="F136" s="66" t="e">
        <f t="shared" ca="1" si="56"/>
        <v>#REF!</v>
      </c>
      <c r="G136" s="6" t="e">
        <f t="shared" ca="1" si="57"/>
        <v>#REF!</v>
      </c>
      <c r="H136" s="4" t="e">
        <f t="shared" ca="1" si="18"/>
        <v>#REF!</v>
      </c>
      <c r="I136" s="4" t="e">
        <f t="shared" ca="1" si="19"/>
        <v>#REF!</v>
      </c>
      <c r="J136" s="67">
        <f t="shared" si="20"/>
        <v>0</v>
      </c>
      <c r="K136" s="89"/>
      <c r="L136" s="68" t="e">
        <f ca="1">INDIRECT(CONCATENATE(TOTAL!B58,"!D6"))</f>
        <v>#REF!</v>
      </c>
      <c r="M136" s="5" t="e">
        <f t="shared" ca="1" si="61"/>
        <v>#REF!</v>
      </c>
      <c r="N136" s="69" t="e">
        <f t="shared" ca="1" si="62"/>
        <v>#REF!</v>
      </c>
      <c r="O136" s="4">
        <f t="shared" si="21"/>
        <v>0</v>
      </c>
      <c r="P136" s="5" t="e">
        <f t="shared" ca="1" si="63"/>
        <v>#REF!</v>
      </c>
      <c r="Q136" s="7" t="e">
        <f t="shared" ca="1" si="64"/>
        <v>#REF!</v>
      </c>
      <c r="R136" s="4" t="e">
        <f t="shared" ca="1" si="65"/>
        <v>#REF!</v>
      </c>
      <c r="S136" s="4" t="e">
        <f t="shared" ca="1" si="58"/>
        <v>#REF!</v>
      </c>
      <c r="T136" s="4" t="e">
        <f t="shared" ca="1" si="66"/>
        <v>#REF!</v>
      </c>
      <c r="U136" s="65"/>
    </row>
    <row r="137" spans="1:21" x14ac:dyDescent="0.25">
      <c r="A137" s="4">
        <v>56</v>
      </c>
      <c r="B137" s="66" t="e">
        <f t="shared" ca="1" si="59"/>
        <v>#REF!</v>
      </c>
      <c r="C137" s="6" t="e">
        <f t="shared" ca="1" si="60"/>
        <v>#REF!</v>
      </c>
      <c r="D137" s="4" t="e">
        <f t="shared" ca="1" si="14"/>
        <v>#REF!</v>
      </c>
      <c r="E137" s="6" t="e">
        <f t="shared" ca="1" si="55"/>
        <v>#REF!</v>
      </c>
      <c r="F137" s="66" t="e">
        <f t="shared" ca="1" si="56"/>
        <v>#REF!</v>
      </c>
      <c r="G137" s="6" t="e">
        <f t="shared" ca="1" si="57"/>
        <v>#REF!</v>
      </c>
      <c r="H137" s="4" t="e">
        <f t="shared" ca="1" si="18"/>
        <v>#REF!</v>
      </c>
      <c r="I137" s="4" t="e">
        <f t="shared" ca="1" si="19"/>
        <v>#REF!</v>
      </c>
      <c r="J137" s="67">
        <f t="shared" si="20"/>
        <v>0</v>
      </c>
      <c r="K137" s="89"/>
      <c r="L137" s="68" t="e">
        <f ca="1">INDIRECT(CONCATENATE(TOTAL!B59,"!D6"))</f>
        <v>#REF!</v>
      </c>
      <c r="M137" s="5" t="e">
        <f t="shared" ca="1" si="61"/>
        <v>#REF!</v>
      </c>
      <c r="N137" s="69" t="e">
        <f t="shared" ca="1" si="62"/>
        <v>#REF!</v>
      </c>
      <c r="O137" s="4">
        <f t="shared" si="21"/>
        <v>0</v>
      </c>
      <c r="P137" s="5" t="e">
        <f t="shared" ca="1" si="63"/>
        <v>#REF!</v>
      </c>
      <c r="Q137" s="7" t="e">
        <f t="shared" ca="1" si="64"/>
        <v>#REF!</v>
      </c>
      <c r="R137" s="4" t="e">
        <f t="shared" ca="1" si="65"/>
        <v>#REF!</v>
      </c>
      <c r="S137" s="4" t="e">
        <f t="shared" ca="1" si="58"/>
        <v>#REF!</v>
      </c>
      <c r="T137" s="4" t="e">
        <f t="shared" ca="1" si="66"/>
        <v>#REF!</v>
      </c>
      <c r="U137" s="65"/>
    </row>
    <row r="138" spans="1:21" x14ac:dyDescent="0.25">
      <c r="A138" s="4">
        <v>57</v>
      </c>
      <c r="B138" s="66" t="e">
        <f t="shared" ca="1" si="59"/>
        <v>#REF!</v>
      </c>
      <c r="C138" s="6" t="e">
        <f t="shared" ca="1" si="60"/>
        <v>#REF!</v>
      </c>
      <c r="D138" s="4" t="e">
        <f t="shared" ca="1" si="14"/>
        <v>#REF!</v>
      </c>
      <c r="E138" s="6" t="e">
        <f t="shared" ca="1" si="55"/>
        <v>#REF!</v>
      </c>
      <c r="F138" s="66" t="e">
        <f t="shared" ca="1" si="56"/>
        <v>#REF!</v>
      </c>
      <c r="G138" s="6" t="e">
        <f t="shared" ca="1" si="57"/>
        <v>#REF!</v>
      </c>
      <c r="H138" s="4" t="e">
        <f t="shared" ca="1" si="18"/>
        <v>#REF!</v>
      </c>
      <c r="I138" s="4" t="e">
        <f t="shared" ca="1" si="19"/>
        <v>#REF!</v>
      </c>
      <c r="J138" s="67">
        <f t="shared" si="20"/>
        <v>0</v>
      </c>
      <c r="K138" s="89"/>
      <c r="L138" s="68" t="e">
        <f ca="1">INDIRECT(CONCATENATE(TOTAL!B60,"!D6"))</f>
        <v>#REF!</v>
      </c>
      <c r="M138" s="5" t="e">
        <f t="shared" ca="1" si="61"/>
        <v>#REF!</v>
      </c>
      <c r="N138" s="69" t="e">
        <f t="shared" ca="1" si="62"/>
        <v>#REF!</v>
      </c>
      <c r="O138" s="4">
        <f t="shared" si="21"/>
        <v>0</v>
      </c>
      <c r="P138" s="5" t="e">
        <f t="shared" ca="1" si="63"/>
        <v>#REF!</v>
      </c>
      <c r="Q138" s="7" t="e">
        <f t="shared" ca="1" si="64"/>
        <v>#REF!</v>
      </c>
      <c r="R138" s="4" t="e">
        <f t="shared" ca="1" si="65"/>
        <v>#REF!</v>
      </c>
      <c r="S138" s="4" t="e">
        <f t="shared" ca="1" si="58"/>
        <v>#REF!</v>
      </c>
      <c r="T138" s="4" t="e">
        <f t="shared" ca="1" si="66"/>
        <v>#REF!</v>
      </c>
      <c r="U138" s="65"/>
    </row>
    <row r="139" spans="1:21" x14ac:dyDescent="0.25">
      <c r="A139" s="4">
        <v>58</v>
      </c>
      <c r="B139" s="66" t="e">
        <f t="shared" ca="1" si="59"/>
        <v>#REF!</v>
      </c>
      <c r="C139" s="6" t="e">
        <f t="shared" ca="1" si="60"/>
        <v>#REF!</v>
      </c>
      <c r="D139" s="4" t="e">
        <f t="shared" ca="1" si="14"/>
        <v>#REF!</v>
      </c>
      <c r="E139" s="6" t="e">
        <f t="shared" ca="1" si="55"/>
        <v>#REF!</v>
      </c>
      <c r="F139" s="66" t="e">
        <f t="shared" ca="1" si="56"/>
        <v>#REF!</v>
      </c>
      <c r="G139" s="6" t="e">
        <f t="shared" ca="1" si="57"/>
        <v>#REF!</v>
      </c>
      <c r="H139" s="4" t="e">
        <f t="shared" ca="1" si="18"/>
        <v>#REF!</v>
      </c>
      <c r="I139" s="4" t="e">
        <f t="shared" ca="1" si="19"/>
        <v>#REF!</v>
      </c>
      <c r="J139" s="67">
        <f t="shared" si="20"/>
        <v>0</v>
      </c>
      <c r="K139" s="89"/>
      <c r="L139" s="68" t="e">
        <f ca="1">INDIRECT(CONCATENATE(TOTAL!B61,"!D6"))</f>
        <v>#REF!</v>
      </c>
      <c r="M139" s="5" t="e">
        <f t="shared" ca="1" si="61"/>
        <v>#REF!</v>
      </c>
      <c r="N139" s="69" t="e">
        <f t="shared" ca="1" si="62"/>
        <v>#REF!</v>
      </c>
      <c r="O139" s="4">
        <f t="shared" si="21"/>
        <v>0</v>
      </c>
      <c r="P139" s="5" t="e">
        <f t="shared" ca="1" si="63"/>
        <v>#REF!</v>
      </c>
      <c r="Q139" s="7" t="e">
        <f t="shared" ca="1" si="64"/>
        <v>#REF!</v>
      </c>
      <c r="R139" s="4" t="e">
        <f t="shared" ca="1" si="65"/>
        <v>#REF!</v>
      </c>
      <c r="S139" s="4" t="e">
        <f t="shared" ca="1" si="58"/>
        <v>#REF!</v>
      </c>
      <c r="T139" s="4" t="e">
        <f t="shared" ca="1" si="66"/>
        <v>#REF!</v>
      </c>
      <c r="U139" s="65"/>
    </row>
    <row r="140" spans="1:21" x14ac:dyDescent="0.25">
      <c r="A140" s="4">
        <v>59</v>
      </c>
      <c r="B140" s="66" t="e">
        <f t="shared" ca="1" si="59"/>
        <v>#REF!</v>
      </c>
      <c r="C140" s="6" t="e">
        <f t="shared" ca="1" si="60"/>
        <v>#REF!</v>
      </c>
      <c r="D140" s="4" t="e">
        <f t="shared" ca="1" si="14"/>
        <v>#REF!</v>
      </c>
      <c r="E140" s="6" t="e">
        <f t="shared" ca="1" si="55"/>
        <v>#REF!</v>
      </c>
      <c r="F140" s="66" t="e">
        <f t="shared" ca="1" si="56"/>
        <v>#REF!</v>
      </c>
      <c r="G140" s="6" t="e">
        <f t="shared" ca="1" si="57"/>
        <v>#REF!</v>
      </c>
      <c r="H140" s="4" t="e">
        <f t="shared" ca="1" si="18"/>
        <v>#REF!</v>
      </c>
      <c r="I140" s="4" t="e">
        <f t="shared" ca="1" si="19"/>
        <v>#REF!</v>
      </c>
      <c r="J140" s="67">
        <f t="shared" si="20"/>
        <v>0</v>
      </c>
      <c r="K140" s="89"/>
      <c r="L140" s="68" t="e">
        <f ca="1">INDIRECT(CONCATENATE(TOTAL!B62,"!D6"))</f>
        <v>#REF!</v>
      </c>
      <c r="M140" s="5" t="e">
        <f t="shared" ca="1" si="61"/>
        <v>#REF!</v>
      </c>
      <c r="N140" s="69" t="e">
        <f t="shared" ca="1" si="62"/>
        <v>#REF!</v>
      </c>
      <c r="O140" s="4">
        <f t="shared" si="21"/>
        <v>0</v>
      </c>
      <c r="P140" s="5" t="e">
        <f t="shared" ca="1" si="63"/>
        <v>#REF!</v>
      </c>
      <c r="Q140" s="7" t="e">
        <f t="shared" ca="1" si="64"/>
        <v>#REF!</v>
      </c>
      <c r="R140" s="4" t="e">
        <f t="shared" ca="1" si="65"/>
        <v>#REF!</v>
      </c>
      <c r="S140" s="4" t="e">
        <f t="shared" ca="1" si="58"/>
        <v>#REF!</v>
      </c>
      <c r="T140" s="4" t="e">
        <f t="shared" ca="1" si="66"/>
        <v>#REF!</v>
      </c>
      <c r="U140" s="65"/>
    </row>
    <row r="141" spans="1:21" x14ac:dyDescent="0.25">
      <c r="A141" s="4">
        <v>60</v>
      </c>
      <c r="B141" s="66" t="e">
        <f t="shared" ca="1" si="59"/>
        <v>#REF!</v>
      </c>
      <c r="C141" s="6" t="e">
        <f t="shared" ca="1" si="60"/>
        <v>#REF!</v>
      </c>
      <c r="D141" s="4" t="e">
        <f t="shared" ca="1" si="14"/>
        <v>#REF!</v>
      </c>
      <c r="E141" s="6" t="e">
        <f t="shared" ca="1" si="55"/>
        <v>#REF!</v>
      </c>
      <c r="F141" s="66" t="e">
        <f t="shared" ca="1" si="56"/>
        <v>#REF!</v>
      </c>
      <c r="G141" s="6" t="e">
        <f t="shared" ca="1" si="57"/>
        <v>#REF!</v>
      </c>
      <c r="H141" s="4" t="e">
        <f t="shared" ca="1" si="18"/>
        <v>#REF!</v>
      </c>
      <c r="I141" s="4" t="e">
        <f t="shared" ca="1" si="19"/>
        <v>#REF!</v>
      </c>
      <c r="J141" s="67">
        <f t="shared" si="20"/>
        <v>0</v>
      </c>
      <c r="K141" s="89"/>
      <c r="L141" s="68" t="e">
        <f ca="1">INDIRECT(CONCATENATE(TOTAL!B63,"!D6"))</f>
        <v>#REF!</v>
      </c>
      <c r="M141" s="5" t="e">
        <f t="shared" ca="1" si="61"/>
        <v>#REF!</v>
      </c>
      <c r="N141" s="69" t="e">
        <f t="shared" ca="1" si="62"/>
        <v>#REF!</v>
      </c>
      <c r="O141" s="4">
        <f t="shared" si="21"/>
        <v>0</v>
      </c>
      <c r="P141" s="5" t="e">
        <f t="shared" ca="1" si="63"/>
        <v>#REF!</v>
      </c>
      <c r="Q141" s="7" t="e">
        <f t="shared" ca="1" si="64"/>
        <v>#REF!</v>
      </c>
      <c r="R141" s="4" t="e">
        <f t="shared" ca="1" si="65"/>
        <v>#REF!</v>
      </c>
      <c r="S141" s="4" t="e">
        <f t="shared" ca="1" si="58"/>
        <v>#REF!</v>
      </c>
      <c r="T141" s="4" t="e">
        <f t="shared" ca="1" si="66"/>
        <v>#REF!</v>
      </c>
      <c r="U141" s="65"/>
    </row>
    <row r="142" spans="1:21" x14ac:dyDescent="0.25">
      <c r="A142" s="4">
        <v>61</v>
      </c>
      <c r="B142" s="66" t="e">
        <f t="shared" ca="1" si="59"/>
        <v>#REF!</v>
      </c>
      <c r="C142" s="6" t="e">
        <f t="shared" ca="1" si="60"/>
        <v>#REF!</v>
      </c>
      <c r="D142" s="4" t="e">
        <f t="shared" ca="1" si="14"/>
        <v>#REF!</v>
      </c>
      <c r="E142" s="6" t="e">
        <f t="shared" ca="1" si="55"/>
        <v>#REF!</v>
      </c>
      <c r="F142" s="66" t="e">
        <f t="shared" ca="1" si="56"/>
        <v>#REF!</v>
      </c>
      <c r="G142" s="6" t="e">
        <f t="shared" ca="1" si="57"/>
        <v>#REF!</v>
      </c>
      <c r="H142" s="4" t="e">
        <f t="shared" ca="1" si="18"/>
        <v>#REF!</v>
      </c>
      <c r="I142" s="4" t="e">
        <f t="shared" ca="1" si="19"/>
        <v>#REF!</v>
      </c>
      <c r="J142" s="67">
        <f t="shared" si="20"/>
        <v>0</v>
      </c>
      <c r="K142" s="89"/>
      <c r="L142" s="68" t="e">
        <f ca="1">INDIRECT(CONCATENATE(TOTAL!B64,"!D6"))</f>
        <v>#REF!</v>
      </c>
      <c r="M142" s="5" t="e">
        <f t="shared" ca="1" si="61"/>
        <v>#REF!</v>
      </c>
      <c r="N142" s="69" t="e">
        <f t="shared" ca="1" si="62"/>
        <v>#REF!</v>
      </c>
      <c r="O142" s="4">
        <f t="shared" si="21"/>
        <v>0</v>
      </c>
      <c r="P142" s="5" t="e">
        <f t="shared" ca="1" si="63"/>
        <v>#REF!</v>
      </c>
      <c r="Q142" s="7" t="e">
        <f t="shared" ca="1" si="64"/>
        <v>#REF!</v>
      </c>
      <c r="R142" s="4" t="e">
        <f t="shared" ca="1" si="65"/>
        <v>#REF!</v>
      </c>
      <c r="S142" s="4" t="e">
        <f t="shared" ca="1" si="58"/>
        <v>#REF!</v>
      </c>
      <c r="T142" s="4" t="e">
        <f t="shared" ca="1" si="66"/>
        <v>#REF!</v>
      </c>
      <c r="U142" s="65"/>
    </row>
    <row r="143" spans="1:21" x14ac:dyDescent="0.25">
      <c r="A143" s="4">
        <v>62</v>
      </c>
      <c r="B143" s="66" t="e">
        <f t="shared" ca="1" si="59"/>
        <v>#REF!</v>
      </c>
      <c r="C143" s="6" t="e">
        <f t="shared" ca="1" si="60"/>
        <v>#REF!</v>
      </c>
      <c r="D143" s="4" t="e">
        <f t="shared" ca="1" si="14"/>
        <v>#REF!</v>
      </c>
      <c r="E143" s="6" t="e">
        <f t="shared" ca="1" si="55"/>
        <v>#REF!</v>
      </c>
      <c r="F143" s="66" t="e">
        <f t="shared" ca="1" si="56"/>
        <v>#REF!</v>
      </c>
      <c r="G143" s="6" t="e">
        <f t="shared" ca="1" si="57"/>
        <v>#REF!</v>
      </c>
      <c r="H143" s="4" t="e">
        <f t="shared" ca="1" si="18"/>
        <v>#REF!</v>
      </c>
      <c r="I143" s="4" t="e">
        <f t="shared" ca="1" si="19"/>
        <v>#REF!</v>
      </c>
      <c r="J143" s="67">
        <f t="shared" si="20"/>
        <v>0</v>
      </c>
      <c r="K143" s="89"/>
      <c r="L143" s="68" t="e">
        <f ca="1">INDIRECT(CONCATENATE(TOTAL!B65,"!D6"))</f>
        <v>#REF!</v>
      </c>
      <c r="M143" s="5" t="e">
        <f t="shared" ca="1" si="61"/>
        <v>#REF!</v>
      </c>
      <c r="N143" s="69" t="e">
        <f t="shared" ca="1" si="62"/>
        <v>#REF!</v>
      </c>
      <c r="O143" s="4">
        <f t="shared" si="21"/>
        <v>0</v>
      </c>
      <c r="P143" s="5" t="e">
        <f t="shared" ca="1" si="63"/>
        <v>#REF!</v>
      </c>
      <c r="Q143" s="7" t="e">
        <f t="shared" ca="1" si="64"/>
        <v>#REF!</v>
      </c>
      <c r="R143" s="4" t="e">
        <f t="shared" ca="1" si="65"/>
        <v>#REF!</v>
      </c>
      <c r="S143" s="4" t="e">
        <f t="shared" ca="1" si="58"/>
        <v>#REF!</v>
      </c>
      <c r="T143" s="4" t="e">
        <f t="shared" ca="1" si="66"/>
        <v>#REF!</v>
      </c>
      <c r="U143" s="65"/>
    </row>
    <row r="144" spans="1:21" x14ac:dyDescent="0.25">
      <c r="A144" s="4">
        <v>63</v>
      </c>
      <c r="B144" s="66" t="e">
        <f t="shared" ca="1" si="59"/>
        <v>#REF!</v>
      </c>
      <c r="C144" s="6" t="e">
        <f t="shared" ca="1" si="60"/>
        <v>#REF!</v>
      </c>
      <c r="D144" s="4" t="e">
        <f t="shared" ca="1" si="14"/>
        <v>#REF!</v>
      </c>
      <c r="E144" s="6" t="e">
        <f t="shared" ref="E144:E156" ca="1" si="67">C144</f>
        <v>#REF!</v>
      </c>
      <c r="F144" s="66" t="e">
        <f t="shared" ref="F144:F157" ca="1" si="68">B144</f>
        <v>#REF!</v>
      </c>
      <c r="G144" s="6" t="e">
        <f t="shared" ref="G144:G157" ca="1" si="69">C144</f>
        <v>#REF!</v>
      </c>
      <c r="H144" s="4" t="e">
        <f t="shared" ca="1" si="18"/>
        <v>#REF!</v>
      </c>
      <c r="I144" s="4" t="e">
        <f t="shared" ca="1" si="19"/>
        <v>#REF!</v>
      </c>
      <c r="J144" s="67">
        <f t="shared" si="20"/>
        <v>0</v>
      </c>
      <c r="K144" s="89"/>
      <c r="L144" s="68" t="e">
        <f ca="1">INDIRECT(CONCATENATE(TOTAL!B66,"!D6"))</f>
        <v>#REF!</v>
      </c>
      <c r="M144" s="5" t="e">
        <f t="shared" ca="1" si="61"/>
        <v>#REF!</v>
      </c>
      <c r="N144" s="69" t="e">
        <f t="shared" ca="1" si="62"/>
        <v>#REF!</v>
      </c>
      <c r="O144" s="4">
        <f t="shared" si="21"/>
        <v>0</v>
      </c>
      <c r="P144" s="5" t="e">
        <f t="shared" ca="1" si="63"/>
        <v>#REF!</v>
      </c>
      <c r="Q144" s="7" t="e">
        <f t="shared" ca="1" si="64"/>
        <v>#REF!</v>
      </c>
      <c r="R144" s="4" t="e">
        <f t="shared" ca="1" si="65"/>
        <v>#REF!</v>
      </c>
      <c r="S144" s="4" t="e">
        <f t="shared" ref="S144:S157" ca="1" si="70">T144-150</f>
        <v>#REF!</v>
      </c>
      <c r="T144" s="4" t="e">
        <f t="shared" ca="1" si="66"/>
        <v>#REF!</v>
      </c>
      <c r="U144" s="65"/>
    </row>
    <row r="145" spans="1:22" x14ac:dyDescent="0.25">
      <c r="A145" s="4">
        <v>64</v>
      </c>
      <c r="B145" s="66" t="e">
        <f t="shared" ca="1" si="59"/>
        <v>#REF!</v>
      </c>
      <c r="C145" s="6" t="e">
        <f t="shared" ca="1" si="60"/>
        <v>#REF!</v>
      </c>
      <c r="D145" s="4" t="e">
        <f t="shared" ca="1" si="14"/>
        <v>#REF!</v>
      </c>
      <c r="E145" s="6" t="e">
        <f t="shared" ca="1" si="67"/>
        <v>#REF!</v>
      </c>
      <c r="F145" s="66" t="e">
        <f t="shared" ca="1" si="68"/>
        <v>#REF!</v>
      </c>
      <c r="G145" s="6" t="e">
        <f t="shared" ca="1" si="69"/>
        <v>#REF!</v>
      </c>
      <c r="H145" s="4" t="e">
        <f t="shared" ca="1" si="18"/>
        <v>#REF!</v>
      </c>
      <c r="I145" s="4" t="e">
        <f t="shared" ca="1" si="19"/>
        <v>#REF!</v>
      </c>
      <c r="J145" s="67">
        <f t="shared" si="20"/>
        <v>0</v>
      </c>
      <c r="K145" s="89"/>
      <c r="L145" s="68" t="e">
        <f ca="1">INDIRECT(CONCATENATE(TOTAL!B67,"!D6"))</f>
        <v>#REF!</v>
      </c>
      <c r="M145" s="5" t="e">
        <f t="shared" ca="1" si="61"/>
        <v>#REF!</v>
      </c>
      <c r="N145" s="69" t="e">
        <f t="shared" ca="1" si="62"/>
        <v>#REF!</v>
      </c>
      <c r="O145" s="4">
        <f t="shared" si="21"/>
        <v>0</v>
      </c>
      <c r="P145" s="5" t="e">
        <f t="shared" ca="1" si="63"/>
        <v>#REF!</v>
      </c>
      <c r="Q145" s="7" t="e">
        <f t="shared" ca="1" si="64"/>
        <v>#REF!</v>
      </c>
      <c r="R145" s="4" t="e">
        <f t="shared" ca="1" si="65"/>
        <v>#REF!</v>
      </c>
      <c r="S145" s="4" t="e">
        <f t="shared" ca="1" si="70"/>
        <v>#REF!</v>
      </c>
      <c r="T145" s="4" t="e">
        <f t="shared" ca="1" si="66"/>
        <v>#REF!</v>
      </c>
      <c r="U145" s="65"/>
    </row>
    <row r="146" spans="1:22" x14ac:dyDescent="0.25">
      <c r="A146" s="4">
        <v>65</v>
      </c>
      <c r="B146" s="66" t="e">
        <f t="shared" ref="B146:B157" ca="1" si="71">INDIRECT(CONCATENATE(B68,"!D2"))</f>
        <v>#REF!</v>
      </c>
      <c r="C146" s="6" t="e">
        <f t="shared" ref="C146:C157" ca="1" si="72">INDIRECT(CONCATENATE(B68,"!F2"))</f>
        <v>#REF!</v>
      </c>
      <c r="D146" s="4" t="e">
        <f t="shared" ca="1" si="14"/>
        <v>#REF!</v>
      </c>
      <c r="E146" s="6" t="e">
        <f t="shared" ca="1" si="67"/>
        <v>#REF!</v>
      </c>
      <c r="F146" s="66" t="e">
        <f t="shared" ca="1" si="68"/>
        <v>#REF!</v>
      </c>
      <c r="G146" s="6" t="e">
        <f t="shared" ca="1" si="69"/>
        <v>#REF!</v>
      </c>
      <c r="H146" s="4" t="e">
        <f t="shared" ca="1" si="18"/>
        <v>#REF!</v>
      </c>
      <c r="I146" s="4" t="e">
        <f t="shared" ca="1" si="19"/>
        <v>#REF!</v>
      </c>
      <c r="J146" s="67">
        <f t="shared" si="20"/>
        <v>0</v>
      </c>
      <c r="K146" s="89"/>
      <c r="L146" s="68" t="e">
        <f ca="1">INDIRECT(CONCATENATE(TOTAL!B68,"!D6"))</f>
        <v>#REF!</v>
      </c>
      <c r="M146" s="5" t="e">
        <f t="shared" ref="M146:M157" ca="1" si="73">INDIRECT(CONCATENATE(B68,"!D25"))</f>
        <v>#REF!</v>
      </c>
      <c r="N146" s="69" t="e">
        <f t="shared" ref="N146:N157" ca="1" si="74">INDIRECT(CONCATENATE(B68,"!L32"))</f>
        <v>#REF!</v>
      </c>
      <c r="O146" s="4">
        <f t="shared" si="21"/>
        <v>0</v>
      </c>
      <c r="P146" s="5" t="e">
        <f t="shared" ref="P146:P157" ca="1" si="75">INDIRECT(CONCATENATE(B68,"!K32"))</f>
        <v>#REF!</v>
      </c>
      <c r="Q146" s="7" t="e">
        <f t="shared" ref="Q146:Q157" ca="1" si="76">IF(INDIRECT(CONCATENATE(B68,"!E41"))="SPR","ЕЛЬ","СОСНА")</f>
        <v>#REF!</v>
      </c>
      <c r="R146" s="4" t="e">
        <f t="shared" ref="R146:R157" ca="1" si="77">INDIRECT(CONCATENATE(B68,"!D27"))</f>
        <v>#REF!</v>
      </c>
      <c r="S146" s="4" t="e">
        <f t="shared" ca="1" si="70"/>
        <v>#REF!</v>
      </c>
      <c r="T146" s="4" t="e">
        <f t="shared" ref="T146:T157" ca="1" si="78">INDIRECT(CONCATENATE(B68,"!M32"))</f>
        <v>#REF!</v>
      </c>
      <c r="U146" s="65"/>
    </row>
    <row r="147" spans="1:22" x14ac:dyDescent="0.25">
      <c r="A147" s="4">
        <v>66</v>
      </c>
      <c r="B147" s="66" t="e">
        <f t="shared" ca="1" si="71"/>
        <v>#REF!</v>
      </c>
      <c r="C147" s="6" t="e">
        <f t="shared" ca="1" si="72"/>
        <v>#REF!</v>
      </c>
      <c r="D147" s="4" t="e">
        <f t="shared" ref="D147:D157" ca="1" si="79">B147</f>
        <v>#REF!</v>
      </c>
      <c r="E147" s="6" t="e">
        <f t="shared" ca="1" si="67"/>
        <v>#REF!</v>
      </c>
      <c r="F147" s="66" t="e">
        <f t="shared" ca="1" si="68"/>
        <v>#REF!</v>
      </c>
      <c r="G147" s="6" t="e">
        <f t="shared" ca="1" si="69"/>
        <v>#REF!</v>
      </c>
      <c r="H147" s="4" t="e">
        <f t="shared" ref="H147:H157" ca="1" si="80">VLOOKUP(L147,$V$5:$X$80,3,0)</f>
        <v>#REF!</v>
      </c>
      <c r="I147" s="4" t="e">
        <f t="shared" ref="I147:I157" ca="1" si="81">VLOOKUP(L147,$V$5:$W$80,2,0)</f>
        <v>#REF!</v>
      </c>
      <c r="J147" s="67">
        <f t="shared" ref="J147:J157" si="82">J69</f>
        <v>0</v>
      </c>
      <c r="K147" s="89"/>
      <c r="L147" s="68" t="e">
        <f ca="1">INDIRECT(CONCATENATE(TOTAL!B69,"!D6"))</f>
        <v>#REF!</v>
      </c>
      <c r="M147" s="5" t="e">
        <f t="shared" ca="1" si="73"/>
        <v>#REF!</v>
      </c>
      <c r="N147" s="69" t="e">
        <f t="shared" ca="1" si="74"/>
        <v>#REF!</v>
      </c>
      <c r="O147" s="4">
        <f t="shared" ref="O147:O157" si="83">O69</f>
        <v>0</v>
      </c>
      <c r="P147" s="5" t="e">
        <f t="shared" ca="1" si="75"/>
        <v>#REF!</v>
      </c>
      <c r="Q147" s="7" t="e">
        <f t="shared" ca="1" si="76"/>
        <v>#REF!</v>
      </c>
      <c r="R147" s="4" t="e">
        <f t="shared" ca="1" si="77"/>
        <v>#REF!</v>
      </c>
      <c r="S147" s="4" t="e">
        <f t="shared" ca="1" si="70"/>
        <v>#REF!</v>
      </c>
      <c r="T147" s="4" t="e">
        <f t="shared" ca="1" si="78"/>
        <v>#REF!</v>
      </c>
      <c r="U147" s="65"/>
    </row>
    <row r="148" spans="1:22" x14ac:dyDescent="0.25">
      <c r="A148" s="4">
        <v>67</v>
      </c>
      <c r="B148" s="66" t="e">
        <f t="shared" ca="1" si="71"/>
        <v>#REF!</v>
      </c>
      <c r="C148" s="6" t="e">
        <f t="shared" ca="1" si="72"/>
        <v>#REF!</v>
      </c>
      <c r="D148" s="4" t="e">
        <f t="shared" ca="1" si="79"/>
        <v>#REF!</v>
      </c>
      <c r="E148" s="6" t="e">
        <f t="shared" ca="1" si="67"/>
        <v>#REF!</v>
      </c>
      <c r="F148" s="66" t="e">
        <f t="shared" ca="1" si="68"/>
        <v>#REF!</v>
      </c>
      <c r="G148" s="6" t="e">
        <f t="shared" ca="1" si="69"/>
        <v>#REF!</v>
      </c>
      <c r="H148" s="4" t="e">
        <f t="shared" ca="1" si="80"/>
        <v>#REF!</v>
      </c>
      <c r="I148" s="4" t="e">
        <f t="shared" ca="1" si="81"/>
        <v>#REF!</v>
      </c>
      <c r="J148" s="67">
        <f t="shared" si="82"/>
        <v>0</v>
      </c>
      <c r="K148" s="89"/>
      <c r="L148" s="68" t="e">
        <f ca="1">INDIRECT(CONCATENATE(TOTAL!B70,"!D6"))</f>
        <v>#REF!</v>
      </c>
      <c r="M148" s="5" t="e">
        <f t="shared" ca="1" si="73"/>
        <v>#REF!</v>
      </c>
      <c r="N148" s="69" t="e">
        <f t="shared" ca="1" si="74"/>
        <v>#REF!</v>
      </c>
      <c r="O148" s="4">
        <f t="shared" si="83"/>
        <v>0</v>
      </c>
      <c r="P148" s="5" t="e">
        <f t="shared" ca="1" si="75"/>
        <v>#REF!</v>
      </c>
      <c r="Q148" s="7" t="e">
        <f t="shared" ca="1" si="76"/>
        <v>#REF!</v>
      </c>
      <c r="R148" s="4" t="e">
        <f t="shared" ca="1" si="77"/>
        <v>#REF!</v>
      </c>
      <c r="S148" s="4" t="e">
        <f t="shared" ca="1" si="70"/>
        <v>#REF!</v>
      </c>
      <c r="T148" s="4" t="e">
        <f t="shared" ca="1" si="78"/>
        <v>#REF!</v>
      </c>
      <c r="U148" s="65"/>
    </row>
    <row r="149" spans="1:22" x14ac:dyDescent="0.25">
      <c r="A149" s="4">
        <v>68</v>
      </c>
      <c r="B149" s="66" t="e">
        <f t="shared" ca="1" si="71"/>
        <v>#REF!</v>
      </c>
      <c r="C149" s="6" t="e">
        <f t="shared" ca="1" si="72"/>
        <v>#REF!</v>
      </c>
      <c r="D149" s="4" t="e">
        <f t="shared" ca="1" si="79"/>
        <v>#REF!</v>
      </c>
      <c r="E149" s="6" t="e">
        <f t="shared" ca="1" si="67"/>
        <v>#REF!</v>
      </c>
      <c r="F149" s="66" t="e">
        <f t="shared" ca="1" si="68"/>
        <v>#REF!</v>
      </c>
      <c r="G149" s="6" t="e">
        <f t="shared" ca="1" si="69"/>
        <v>#REF!</v>
      </c>
      <c r="H149" s="4" t="e">
        <f t="shared" ca="1" si="80"/>
        <v>#REF!</v>
      </c>
      <c r="I149" s="4" t="e">
        <f t="shared" ca="1" si="81"/>
        <v>#REF!</v>
      </c>
      <c r="J149" s="67">
        <f t="shared" si="82"/>
        <v>0</v>
      </c>
      <c r="K149" s="89"/>
      <c r="L149" s="68" t="e">
        <f ca="1">INDIRECT(CONCATENATE(TOTAL!B71,"!D6"))</f>
        <v>#REF!</v>
      </c>
      <c r="M149" s="5" t="e">
        <f t="shared" ca="1" si="73"/>
        <v>#REF!</v>
      </c>
      <c r="N149" s="69" t="e">
        <f t="shared" ca="1" si="74"/>
        <v>#REF!</v>
      </c>
      <c r="O149" s="4">
        <f t="shared" si="83"/>
        <v>0</v>
      </c>
      <c r="P149" s="5" t="e">
        <f t="shared" ca="1" si="75"/>
        <v>#REF!</v>
      </c>
      <c r="Q149" s="7" t="e">
        <f t="shared" ca="1" si="76"/>
        <v>#REF!</v>
      </c>
      <c r="R149" s="4" t="e">
        <f t="shared" ca="1" si="77"/>
        <v>#REF!</v>
      </c>
      <c r="S149" s="4" t="e">
        <f t="shared" ca="1" si="70"/>
        <v>#REF!</v>
      </c>
      <c r="T149" s="4" t="e">
        <f t="shared" ca="1" si="78"/>
        <v>#REF!</v>
      </c>
      <c r="U149" s="65"/>
    </row>
    <row r="150" spans="1:22" x14ac:dyDescent="0.25">
      <c r="A150" s="4">
        <v>69</v>
      </c>
      <c r="B150" s="66" t="e">
        <f t="shared" ca="1" si="71"/>
        <v>#REF!</v>
      </c>
      <c r="C150" s="6" t="e">
        <f t="shared" ca="1" si="72"/>
        <v>#REF!</v>
      </c>
      <c r="D150" s="4" t="e">
        <f t="shared" ca="1" si="79"/>
        <v>#REF!</v>
      </c>
      <c r="E150" s="6" t="e">
        <f t="shared" ca="1" si="67"/>
        <v>#REF!</v>
      </c>
      <c r="F150" s="66" t="e">
        <f t="shared" ca="1" si="68"/>
        <v>#REF!</v>
      </c>
      <c r="G150" s="6" t="e">
        <f t="shared" ca="1" si="69"/>
        <v>#REF!</v>
      </c>
      <c r="H150" s="4" t="e">
        <f t="shared" ca="1" si="80"/>
        <v>#REF!</v>
      </c>
      <c r="I150" s="4" t="e">
        <f t="shared" ca="1" si="81"/>
        <v>#REF!</v>
      </c>
      <c r="J150" s="67">
        <f t="shared" si="82"/>
        <v>0</v>
      </c>
      <c r="K150" s="89"/>
      <c r="L150" s="68" t="e">
        <f ca="1">INDIRECT(CONCATENATE(TOTAL!B72,"!D6"))</f>
        <v>#REF!</v>
      </c>
      <c r="M150" s="5" t="e">
        <f t="shared" ca="1" si="73"/>
        <v>#REF!</v>
      </c>
      <c r="N150" s="69" t="e">
        <f t="shared" ca="1" si="74"/>
        <v>#REF!</v>
      </c>
      <c r="O150" s="4">
        <f t="shared" si="83"/>
        <v>0</v>
      </c>
      <c r="P150" s="5" t="e">
        <f t="shared" ca="1" si="75"/>
        <v>#REF!</v>
      </c>
      <c r="Q150" s="7" t="e">
        <f t="shared" ca="1" si="76"/>
        <v>#REF!</v>
      </c>
      <c r="R150" s="4" t="e">
        <f t="shared" ca="1" si="77"/>
        <v>#REF!</v>
      </c>
      <c r="S150" s="4" t="e">
        <f t="shared" ca="1" si="70"/>
        <v>#REF!</v>
      </c>
      <c r="T150" s="4" t="e">
        <f t="shared" ca="1" si="78"/>
        <v>#REF!</v>
      </c>
      <c r="U150" s="65"/>
    </row>
    <row r="151" spans="1:22" x14ac:dyDescent="0.25">
      <c r="A151" s="4">
        <v>70</v>
      </c>
      <c r="B151" s="66" t="e">
        <f t="shared" ca="1" si="71"/>
        <v>#REF!</v>
      </c>
      <c r="C151" s="6" t="e">
        <f t="shared" ca="1" si="72"/>
        <v>#REF!</v>
      </c>
      <c r="D151" s="4" t="e">
        <f t="shared" ca="1" si="79"/>
        <v>#REF!</v>
      </c>
      <c r="E151" s="6" t="e">
        <f t="shared" ca="1" si="67"/>
        <v>#REF!</v>
      </c>
      <c r="F151" s="66" t="e">
        <f t="shared" ca="1" si="68"/>
        <v>#REF!</v>
      </c>
      <c r="G151" s="6" t="e">
        <f t="shared" ca="1" si="69"/>
        <v>#REF!</v>
      </c>
      <c r="H151" s="4" t="e">
        <f t="shared" ca="1" si="80"/>
        <v>#REF!</v>
      </c>
      <c r="I151" s="4" t="e">
        <f t="shared" ca="1" si="81"/>
        <v>#REF!</v>
      </c>
      <c r="J151" s="67">
        <f t="shared" si="82"/>
        <v>0</v>
      </c>
      <c r="K151" s="89"/>
      <c r="L151" s="68" t="e">
        <f ca="1">INDIRECT(CONCATENATE(TOTAL!B73,"!D6"))</f>
        <v>#REF!</v>
      </c>
      <c r="M151" s="5" t="e">
        <f t="shared" ca="1" si="73"/>
        <v>#REF!</v>
      </c>
      <c r="N151" s="69" t="e">
        <f t="shared" ca="1" si="74"/>
        <v>#REF!</v>
      </c>
      <c r="O151" s="4">
        <f t="shared" si="83"/>
        <v>0</v>
      </c>
      <c r="P151" s="5" t="e">
        <f t="shared" ca="1" si="75"/>
        <v>#REF!</v>
      </c>
      <c r="Q151" s="7" t="e">
        <f t="shared" ca="1" si="76"/>
        <v>#REF!</v>
      </c>
      <c r="R151" s="4" t="e">
        <f t="shared" ca="1" si="77"/>
        <v>#REF!</v>
      </c>
      <c r="S151" s="4" t="e">
        <f t="shared" ca="1" si="70"/>
        <v>#REF!</v>
      </c>
      <c r="T151" s="4" t="e">
        <f t="shared" ca="1" si="78"/>
        <v>#REF!</v>
      </c>
      <c r="U151" s="65"/>
    </row>
    <row r="152" spans="1:22" x14ac:dyDescent="0.25">
      <c r="A152" s="4">
        <v>71</v>
      </c>
      <c r="B152" s="66" t="e">
        <f t="shared" ca="1" si="71"/>
        <v>#REF!</v>
      </c>
      <c r="C152" s="6" t="e">
        <f t="shared" ca="1" si="72"/>
        <v>#REF!</v>
      </c>
      <c r="D152" s="4" t="e">
        <f t="shared" ca="1" si="79"/>
        <v>#REF!</v>
      </c>
      <c r="E152" s="6" t="e">
        <f t="shared" ca="1" si="67"/>
        <v>#REF!</v>
      </c>
      <c r="F152" s="66" t="e">
        <f t="shared" ca="1" si="68"/>
        <v>#REF!</v>
      </c>
      <c r="G152" s="6" t="e">
        <f t="shared" ca="1" si="69"/>
        <v>#REF!</v>
      </c>
      <c r="H152" s="4" t="e">
        <f t="shared" ca="1" si="80"/>
        <v>#REF!</v>
      </c>
      <c r="I152" s="4" t="e">
        <f t="shared" ca="1" si="81"/>
        <v>#REF!</v>
      </c>
      <c r="J152" s="67">
        <f t="shared" si="82"/>
        <v>0</v>
      </c>
      <c r="K152" s="89"/>
      <c r="L152" s="68" t="e">
        <f ca="1">INDIRECT(CONCATENATE(TOTAL!B74,"!D6"))</f>
        <v>#REF!</v>
      </c>
      <c r="M152" s="5" t="e">
        <f t="shared" ca="1" si="73"/>
        <v>#REF!</v>
      </c>
      <c r="N152" s="69" t="e">
        <f t="shared" ca="1" si="74"/>
        <v>#REF!</v>
      </c>
      <c r="O152" s="4">
        <f t="shared" si="83"/>
        <v>0</v>
      </c>
      <c r="P152" s="5" t="e">
        <f t="shared" ca="1" si="75"/>
        <v>#REF!</v>
      </c>
      <c r="Q152" s="7" t="e">
        <f t="shared" ca="1" si="76"/>
        <v>#REF!</v>
      </c>
      <c r="R152" s="4" t="e">
        <f t="shared" ca="1" si="77"/>
        <v>#REF!</v>
      </c>
      <c r="S152" s="4" t="e">
        <f t="shared" ca="1" si="70"/>
        <v>#REF!</v>
      </c>
      <c r="T152" s="4" t="e">
        <f t="shared" ca="1" si="78"/>
        <v>#REF!</v>
      </c>
      <c r="U152" s="65"/>
    </row>
    <row r="153" spans="1:22" x14ac:dyDescent="0.25">
      <c r="A153" s="4">
        <v>72</v>
      </c>
      <c r="B153" s="66" t="e">
        <f t="shared" ca="1" si="71"/>
        <v>#REF!</v>
      </c>
      <c r="C153" s="6" t="e">
        <f t="shared" ca="1" si="72"/>
        <v>#REF!</v>
      </c>
      <c r="D153" s="4" t="e">
        <f t="shared" ca="1" si="79"/>
        <v>#REF!</v>
      </c>
      <c r="E153" s="6" t="e">
        <f t="shared" ca="1" si="67"/>
        <v>#REF!</v>
      </c>
      <c r="F153" s="66" t="e">
        <f t="shared" ca="1" si="68"/>
        <v>#REF!</v>
      </c>
      <c r="G153" s="6" t="e">
        <f t="shared" ca="1" si="69"/>
        <v>#REF!</v>
      </c>
      <c r="H153" s="4" t="e">
        <f t="shared" ca="1" si="80"/>
        <v>#REF!</v>
      </c>
      <c r="I153" s="4" t="e">
        <f t="shared" ca="1" si="81"/>
        <v>#REF!</v>
      </c>
      <c r="J153" s="67">
        <f t="shared" si="82"/>
        <v>0</v>
      </c>
      <c r="K153" s="89"/>
      <c r="L153" s="68" t="e">
        <f ca="1">INDIRECT(CONCATENATE(TOTAL!B75,"!D6"))</f>
        <v>#REF!</v>
      </c>
      <c r="M153" s="5" t="e">
        <f t="shared" ca="1" si="73"/>
        <v>#REF!</v>
      </c>
      <c r="N153" s="69" t="e">
        <f t="shared" ca="1" si="74"/>
        <v>#REF!</v>
      </c>
      <c r="O153" s="4">
        <f t="shared" si="83"/>
        <v>0</v>
      </c>
      <c r="P153" s="5" t="e">
        <f t="shared" ca="1" si="75"/>
        <v>#REF!</v>
      </c>
      <c r="Q153" s="7" t="e">
        <f t="shared" ca="1" si="76"/>
        <v>#REF!</v>
      </c>
      <c r="R153" s="4" t="e">
        <f t="shared" ca="1" si="77"/>
        <v>#REF!</v>
      </c>
      <c r="S153" s="4" t="e">
        <f t="shared" ca="1" si="70"/>
        <v>#REF!</v>
      </c>
      <c r="T153" s="4" t="e">
        <f t="shared" ca="1" si="78"/>
        <v>#REF!</v>
      </c>
      <c r="U153" s="65"/>
    </row>
    <row r="154" spans="1:22" x14ac:dyDescent="0.25">
      <c r="A154" s="4">
        <v>73</v>
      </c>
      <c r="B154" s="66" t="e">
        <f t="shared" ca="1" si="71"/>
        <v>#REF!</v>
      </c>
      <c r="C154" s="6" t="e">
        <f t="shared" ca="1" si="72"/>
        <v>#REF!</v>
      </c>
      <c r="D154" s="4" t="e">
        <f t="shared" ca="1" si="79"/>
        <v>#REF!</v>
      </c>
      <c r="E154" s="6" t="e">
        <f t="shared" ca="1" si="67"/>
        <v>#REF!</v>
      </c>
      <c r="F154" s="66" t="e">
        <f t="shared" ca="1" si="68"/>
        <v>#REF!</v>
      </c>
      <c r="G154" s="6" t="e">
        <f t="shared" ca="1" si="69"/>
        <v>#REF!</v>
      </c>
      <c r="H154" s="4" t="e">
        <f t="shared" ca="1" si="80"/>
        <v>#REF!</v>
      </c>
      <c r="I154" s="4" t="e">
        <f t="shared" ca="1" si="81"/>
        <v>#REF!</v>
      </c>
      <c r="J154" s="67">
        <f t="shared" si="82"/>
        <v>0</v>
      </c>
      <c r="K154" s="89"/>
      <c r="L154" s="68" t="e">
        <f ca="1">INDIRECT(CONCATENATE(TOTAL!B76,"!D6"))</f>
        <v>#REF!</v>
      </c>
      <c r="M154" s="5" t="e">
        <f t="shared" ca="1" si="73"/>
        <v>#REF!</v>
      </c>
      <c r="N154" s="69" t="e">
        <f t="shared" ca="1" si="74"/>
        <v>#REF!</v>
      </c>
      <c r="O154" s="4">
        <f t="shared" si="83"/>
        <v>0</v>
      </c>
      <c r="P154" s="5" t="e">
        <f t="shared" ca="1" si="75"/>
        <v>#REF!</v>
      </c>
      <c r="Q154" s="7" t="e">
        <f t="shared" ca="1" si="76"/>
        <v>#REF!</v>
      </c>
      <c r="R154" s="4" t="e">
        <f t="shared" ca="1" si="77"/>
        <v>#REF!</v>
      </c>
      <c r="S154" s="4" t="e">
        <f t="shared" ca="1" si="70"/>
        <v>#REF!</v>
      </c>
      <c r="T154" s="4" t="e">
        <f t="shared" ca="1" si="78"/>
        <v>#REF!</v>
      </c>
      <c r="U154" s="65"/>
    </row>
    <row r="155" spans="1:22" x14ac:dyDescent="0.25">
      <c r="A155" s="4">
        <v>74</v>
      </c>
      <c r="B155" s="66" t="e">
        <f t="shared" ca="1" si="71"/>
        <v>#REF!</v>
      </c>
      <c r="C155" s="6" t="e">
        <f t="shared" ca="1" si="72"/>
        <v>#REF!</v>
      </c>
      <c r="D155" s="4" t="e">
        <f t="shared" ca="1" si="79"/>
        <v>#REF!</v>
      </c>
      <c r="E155" s="6" t="e">
        <f t="shared" ca="1" si="67"/>
        <v>#REF!</v>
      </c>
      <c r="F155" s="66" t="e">
        <f t="shared" ca="1" si="68"/>
        <v>#REF!</v>
      </c>
      <c r="G155" s="6" t="e">
        <f t="shared" ca="1" si="69"/>
        <v>#REF!</v>
      </c>
      <c r="H155" s="4" t="e">
        <f t="shared" ca="1" si="80"/>
        <v>#REF!</v>
      </c>
      <c r="I155" s="4" t="e">
        <f t="shared" ca="1" si="81"/>
        <v>#REF!</v>
      </c>
      <c r="J155" s="67">
        <f t="shared" si="82"/>
        <v>0</v>
      </c>
      <c r="K155" s="89"/>
      <c r="L155" s="68" t="e">
        <f ca="1">INDIRECT(CONCATENATE(TOTAL!B77,"!D6"))</f>
        <v>#REF!</v>
      </c>
      <c r="M155" s="5" t="e">
        <f t="shared" ca="1" si="73"/>
        <v>#REF!</v>
      </c>
      <c r="N155" s="69" t="e">
        <f t="shared" ca="1" si="74"/>
        <v>#REF!</v>
      </c>
      <c r="O155" s="4">
        <f t="shared" si="83"/>
        <v>0</v>
      </c>
      <c r="P155" s="5" t="e">
        <f t="shared" ca="1" si="75"/>
        <v>#REF!</v>
      </c>
      <c r="Q155" s="7" t="e">
        <f t="shared" ca="1" si="76"/>
        <v>#REF!</v>
      </c>
      <c r="R155" s="4" t="e">
        <f t="shared" ca="1" si="77"/>
        <v>#REF!</v>
      </c>
      <c r="S155" s="4" t="e">
        <f t="shared" ca="1" si="70"/>
        <v>#REF!</v>
      </c>
      <c r="T155" s="4" t="e">
        <f t="shared" ca="1" si="78"/>
        <v>#REF!</v>
      </c>
      <c r="U155" s="65"/>
    </row>
    <row r="156" spans="1:22" x14ac:dyDescent="0.25">
      <c r="A156" s="4">
        <v>75</v>
      </c>
      <c r="B156" s="66" t="e">
        <f t="shared" ca="1" si="71"/>
        <v>#REF!</v>
      </c>
      <c r="C156" s="6" t="e">
        <f t="shared" ca="1" si="72"/>
        <v>#REF!</v>
      </c>
      <c r="D156" s="4" t="e">
        <f t="shared" ca="1" si="79"/>
        <v>#REF!</v>
      </c>
      <c r="E156" s="6" t="e">
        <f t="shared" ca="1" si="67"/>
        <v>#REF!</v>
      </c>
      <c r="F156" s="66" t="e">
        <f t="shared" ca="1" si="68"/>
        <v>#REF!</v>
      </c>
      <c r="G156" s="6" t="e">
        <f t="shared" ca="1" si="69"/>
        <v>#REF!</v>
      </c>
      <c r="H156" s="4" t="e">
        <f t="shared" ca="1" si="80"/>
        <v>#REF!</v>
      </c>
      <c r="I156" s="4" t="e">
        <f t="shared" ca="1" si="81"/>
        <v>#REF!</v>
      </c>
      <c r="J156" s="67">
        <f t="shared" si="82"/>
        <v>0</v>
      </c>
      <c r="K156" s="89"/>
      <c r="L156" s="68" t="e">
        <f ca="1">INDIRECT(CONCATENATE(TOTAL!B78,"!D6"))</f>
        <v>#REF!</v>
      </c>
      <c r="M156" s="5" t="e">
        <f t="shared" ca="1" si="73"/>
        <v>#REF!</v>
      </c>
      <c r="N156" s="69" t="e">
        <f t="shared" ca="1" si="74"/>
        <v>#REF!</v>
      </c>
      <c r="O156" s="4">
        <f t="shared" si="83"/>
        <v>0</v>
      </c>
      <c r="P156" s="5" t="e">
        <f t="shared" ca="1" si="75"/>
        <v>#REF!</v>
      </c>
      <c r="Q156" s="7" t="e">
        <f t="shared" ca="1" si="76"/>
        <v>#REF!</v>
      </c>
      <c r="R156" s="4" t="e">
        <f t="shared" ca="1" si="77"/>
        <v>#REF!</v>
      </c>
      <c r="S156" s="4" t="e">
        <f t="shared" ca="1" si="70"/>
        <v>#REF!</v>
      </c>
      <c r="T156" s="4" t="e">
        <f t="shared" ca="1" si="78"/>
        <v>#REF!</v>
      </c>
      <c r="U156" s="65"/>
    </row>
    <row r="157" spans="1:22" x14ac:dyDescent="0.25">
      <c r="A157" s="4">
        <v>76</v>
      </c>
      <c r="B157" s="66" t="e">
        <f t="shared" ca="1" si="71"/>
        <v>#REF!</v>
      </c>
      <c r="C157" s="6" t="e">
        <f t="shared" ca="1" si="72"/>
        <v>#REF!</v>
      </c>
      <c r="D157" s="4" t="e">
        <f t="shared" ca="1" si="79"/>
        <v>#REF!</v>
      </c>
      <c r="E157" s="6" t="e">
        <f ca="1">C157</f>
        <v>#REF!</v>
      </c>
      <c r="F157" s="66" t="e">
        <f t="shared" ca="1" si="68"/>
        <v>#REF!</v>
      </c>
      <c r="G157" s="6" t="e">
        <f t="shared" ca="1" si="69"/>
        <v>#REF!</v>
      </c>
      <c r="H157" s="4" t="e">
        <f t="shared" ca="1" si="80"/>
        <v>#REF!</v>
      </c>
      <c r="I157" s="4" t="e">
        <f t="shared" ca="1" si="81"/>
        <v>#REF!</v>
      </c>
      <c r="J157" s="67">
        <f t="shared" si="82"/>
        <v>0</v>
      </c>
      <c r="K157" s="89"/>
      <c r="L157" s="68" t="e">
        <f ca="1">INDIRECT(CONCATENATE(TOTAL!B79,"!D6"))</f>
        <v>#REF!</v>
      </c>
      <c r="M157" s="5" t="e">
        <f t="shared" ca="1" si="73"/>
        <v>#REF!</v>
      </c>
      <c r="N157" s="69" t="e">
        <f t="shared" ca="1" si="74"/>
        <v>#REF!</v>
      </c>
      <c r="O157" s="4">
        <f t="shared" si="83"/>
        <v>0</v>
      </c>
      <c r="P157" s="5" t="e">
        <f t="shared" ca="1" si="75"/>
        <v>#REF!</v>
      </c>
      <c r="Q157" s="7" t="e">
        <f t="shared" ca="1" si="76"/>
        <v>#REF!</v>
      </c>
      <c r="R157" s="4" t="e">
        <f t="shared" ca="1" si="77"/>
        <v>#REF!</v>
      </c>
      <c r="S157" s="4" t="e">
        <f t="shared" ca="1" si="70"/>
        <v>#REF!</v>
      </c>
      <c r="T157" s="4" t="e">
        <f t="shared" ca="1" si="78"/>
        <v>#REF!</v>
      </c>
      <c r="U157" s="65"/>
    </row>
    <row r="158" spans="1:22" s="129" customFormat="1" x14ac:dyDescent="0.25">
      <c r="A158" s="120"/>
      <c r="B158" s="121"/>
      <c r="C158" s="122"/>
      <c r="D158" s="120"/>
      <c r="E158" s="122"/>
      <c r="F158" s="121"/>
      <c r="G158" s="122"/>
      <c r="H158" s="120"/>
      <c r="I158" s="120"/>
      <c r="J158" s="123"/>
      <c r="K158" s="124"/>
      <c r="L158" s="121"/>
      <c r="M158" s="125"/>
      <c r="N158" s="126"/>
      <c r="O158" s="120"/>
      <c r="P158" s="125"/>
      <c r="Q158" s="127"/>
      <c r="R158" s="120"/>
      <c r="S158" s="120"/>
      <c r="T158" s="120"/>
      <c r="U158" s="128"/>
    </row>
    <row r="159" spans="1:22" ht="18.75" x14ac:dyDescent="0.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90"/>
      <c r="L159" s="16" t="s">
        <v>16</v>
      </c>
      <c r="M159" s="32" t="e">
        <f ca="1">INDIRECT(CONCATENATE(B4,"!S16"))</f>
        <v>#REF!</v>
      </c>
      <c r="N159" s="22"/>
      <c r="O159" s="22"/>
      <c r="P159" s="22"/>
      <c r="Q159" s="14"/>
      <c r="R159" s="14"/>
      <c r="S159" s="14"/>
      <c r="T159" s="8"/>
      <c r="U159" s="8"/>
      <c r="V159" s="8"/>
    </row>
    <row r="160" spans="1:22" ht="18.75" x14ac:dyDescent="0.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90"/>
      <c r="L160" s="16"/>
      <c r="M160" s="32" t="s">
        <v>41</v>
      </c>
      <c r="N160" s="22"/>
      <c r="O160" s="22"/>
      <c r="P160" s="22"/>
      <c r="Q160" s="14"/>
      <c r="R160" s="14"/>
      <c r="S160" s="14"/>
      <c r="T160" s="8"/>
      <c r="U160" s="8"/>
      <c r="V160" s="8"/>
    </row>
    <row r="161" spans="1:22" ht="18.75" x14ac:dyDescent="0.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90"/>
      <c r="L161" s="16" t="s">
        <v>17</v>
      </c>
      <c r="M161" s="21" t="e">
        <f ca="1">INDIRECT(CONCATENATE(B4,"!S20"))</f>
        <v>#REF!</v>
      </c>
      <c r="N161" s="23"/>
      <c r="O161" s="23"/>
      <c r="P161" s="23"/>
      <c r="Q161" s="14"/>
      <c r="R161" s="14"/>
      <c r="S161" s="14"/>
      <c r="T161" s="8"/>
      <c r="U161" s="8"/>
      <c r="V161" s="8"/>
    </row>
    <row r="162" spans="1:22" ht="18.75" x14ac:dyDescent="0.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90"/>
      <c r="L162" s="16" t="s">
        <v>18</v>
      </c>
      <c r="M162" s="24" t="e">
        <f ca="1">INDIRECT(CONCATENATE(B4,"!S21"))</f>
        <v>#REF!</v>
      </c>
      <c r="N162" s="23"/>
      <c r="O162" s="23"/>
      <c r="P162" s="23"/>
      <c r="Q162" s="14"/>
      <c r="R162" s="14"/>
      <c r="S162" s="14"/>
      <c r="T162" s="8"/>
      <c r="U162" s="8"/>
      <c r="V162" s="8"/>
    </row>
    <row r="163" spans="1:22" ht="18.75" x14ac:dyDescent="0.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90"/>
      <c r="L163" s="16"/>
      <c r="M163" s="25"/>
      <c r="N163" s="23"/>
      <c r="O163" s="23"/>
      <c r="P163" s="23"/>
      <c r="Q163" s="14"/>
      <c r="R163" s="14"/>
      <c r="S163" s="14"/>
      <c r="T163" s="8"/>
      <c r="U163" s="8"/>
      <c r="V163" s="8"/>
    </row>
    <row r="164" spans="1:22" ht="18.75" x14ac:dyDescent="0.4">
      <c r="L164" s="17" t="s">
        <v>20</v>
      </c>
      <c r="M164" s="52" t="e">
        <f ca="1">INDIRECT(CONCATENATE(B4,"!S17"))</f>
        <v>#REF!</v>
      </c>
      <c r="N164" s="26"/>
      <c r="O164" s="26"/>
      <c r="P164" s="26"/>
      <c r="Q164" s="13"/>
      <c r="R164" s="10"/>
      <c r="S164" s="10"/>
    </row>
    <row r="165" spans="1:22" ht="18.75" x14ac:dyDescent="0.25">
      <c r="L165" s="18" t="s">
        <v>21</v>
      </c>
      <c r="M165" s="52" t="e">
        <f ca="1">INDIRECT(CONCATENATE(B4,"!S18"))</f>
        <v>#REF!</v>
      </c>
      <c r="N165" s="27"/>
      <c r="O165" s="27"/>
      <c r="P165" s="27"/>
      <c r="Q165" s="11"/>
      <c r="R165" s="11"/>
      <c r="S165" s="11"/>
      <c r="T165" s="11"/>
      <c r="U165" s="11"/>
      <c r="V165" s="10"/>
    </row>
    <row r="166" spans="1:22" ht="18.75" x14ac:dyDescent="0.25">
      <c r="L166" s="18"/>
      <c r="M166" s="34"/>
      <c r="N166" s="27"/>
      <c r="O166" s="27"/>
      <c r="P166" s="27"/>
      <c r="Q166" s="11"/>
      <c r="R166" s="11"/>
      <c r="S166" s="11"/>
      <c r="T166" s="11"/>
      <c r="U166" s="11"/>
      <c r="V166" s="10"/>
    </row>
    <row r="167" spans="1:22" ht="18.75" x14ac:dyDescent="0.4">
      <c r="L167" s="16" t="s">
        <v>22</v>
      </c>
      <c r="M167" s="34" t="e">
        <f ca="1">M164</f>
        <v>#REF!</v>
      </c>
      <c r="N167" s="26"/>
      <c r="O167" s="26"/>
      <c r="P167" s="26"/>
      <c r="Q167" s="13"/>
      <c r="R167" s="10"/>
      <c r="S167" s="10"/>
    </row>
    <row r="168" spans="1:22" ht="18.75" x14ac:dyDescent="0.4">
      <c r="L168" s="17" t="s">
        <v>23</v>
      </c>
      <c r="M168" s="34" t="e">
        <f ca="1">M165</f>
        <v>#REF!</v>
      </c>
      <c r="N168" s="26"/>
      <c r="O168" s="26"/>
      <c r="P168" s="26"/>
      <c r="Q168" s="13"/>
      <c r="R168" s="10"/>
      <c r="S168" s="10"/>
    </row>
    <row r="169" spans="1:22" ht="18.75" x14ac:dyDescent="0.4">
      <c r="L169" s="17" t="s">
        <v>36</v>
      </c>
      <c r="M169" s="34" t="e">
        <f ca="1">INDIRECT(CONCATENATE(B4,"!S19"))</f>
        <v>#REF!</v>
      </c>
      <c r="N169" s="26"/>
      <c r="O169" s="26"/>
      <c r="P169" s="26"/>
      <c r="Q169" s="13"/>
      <c r="R169" s="10"/>
      <c r="S169" s="10"/>
    </row>
    <row r="170" spans="1:22" ht="18.75" x14ac:dyDescent="0.4">
      <c r="L170" s="17"/>
      <c r="M170" s="34"/>
      <c r="N170" s="26"/>
      <c r="O170" s="26"/>
      <c r="P170" s="26"/>
      <c r="Q170" s="13"/>
      <c r="R170" s="10"/>
      <c r="S170" s="10"/>
    </row>
    <row r="171" spans="1:22" ht="37.5" x14ac:dyDescent="0.25">
      <c r="L171" s="18" t="s">
        <v>24</v>
      </c>
      <c r="M171" s="118">
        <f>COUNTA(A82:A177)</f>
        <v>76</v>
      </c>
      <c r="N171" s="118"/>
      <c r="O171" s="118"/>
      <c r="P171" s="118"/>
      <c r="Q171" s="13"/>
      <c r="R171" s="10"/>
      <c r="S171" s="10"/>
    </row>
    <row r="172" spans="1:22" ht="18.75" x14ac:dyDescent="0.25">
      <c r="L172" s="19" t="s">
        <v>25</v>
      </c>
      <c r="M172" s="118" t="s">
        <v>55</v>
      </c>
      <c r="N172" s="118"/>
      <c r="O172" s="118"/>
      <c r="P172" s="118"/>
      <c r="Q172" s="13"/>
      <c r="R172" s="10"/>
      <c r="S172" s="10"/>
    </row>
    <row r="173" spans="1:22" ht="18.75" x14ac:dyDescent="0.25">
      <c r="L173" s="19" t="s">
        <v>26</v>
      </c>
      <c r="M173" s="119" t="e">
        <f ca="1">INDIRECT(CONCATENATE(B4,"!S25"))</f>
        <v>#REF!</v>
      </c>
      <c r="N173" s="119"/>
      <c r="O173" s="119"/>
      <c r="P173" s="119"/>
      <c r="Q173" s="13"/>
      <c r="R173" s="10"/>
      <c r="S173" s="10"/>
    </row>
    <row r="174" spans="1:22" ht="18.75" x14ac:dyDescent="0.25">
      <c r="L174" s="19" t="s">
        <v>27</v>
      </c>
      <c r="M174" s="53" t="s">
        <v>56</v>
      </c>
      <c r="N174" s="53"/>
      <c r="O174" s="53"/>
      <c r="P174" s="53"/>
      <c r="Q174" s="13"/>
      <c r="R174" s="10"/>
      <c r="S174" s="10"/>
    </row>
    <row r="175" spans="1:22" ht="18.75" x14ac:dyDescent="0.25">
      <c r="L175" s="20"/>
      <c r="M175" s="28"/>
      <c r="N175" s="26"/>
      <c r="O175" s="26"/>
      <c r="P175" s="26"/>
      <c r="Q175" s="13"/>
      <c r="R175" s="10"/>
      <c r="S175" s="10"/>
    </row>
    <row r="176" spans="1:22" ht="18.75" x14ac:dyDescent="0.25">
      <c r="L176" s="18" t="s">
        <v>28</v>
      </c>
      <c r="M176" s="26" t="e">
        <f ca="1">INDIRECT(CONCATENATE(B4,"!S8"))</f>
        <v>#REF!</v>
      </c>
      <c r="N176" s="26"/>
      <c r="O176" s="26"/>
      <c r="P176" s="26"/>
      <c r="Q176" s="13"/>
      <c r="R176" s="10"/>
      <c r="S176" s="10"/>
    </row>
    <row r="177" spans="12:19" ht="18.75" x14ac:dyDescent="0.25">
      <c r="L177" s="20"/>
      <c r="M177" s="28"/>
      <c r="N177" s="26"/>
      <c r="O177" s="26"/>
      <c r="P177" s="26"/>
      <c r="Q177" s="13"/>
      <c r="R177" s="10"/>
      <c r="S177" s="10"/>
    </row>
    <row r="178" spans="12:19" ht="37.5" x14ac:dyDescent="0.25">
      <c r="L178" s="18" t="s">
        <v>29</v>
      </c>
      <c r="M178" s="29" t="e">
        <f ca="1">Q82</f>
        <v>#REF!</v>
      </c>
      <c r="N178" s="29"/>
      <c r="O178" s="30"/>
      <c r="P178" s="30"/>
      <c r="Q178" s="13"/>
      <c r="R178" s="10"/>
      <c r="S178" s="10"/>
    </row>
    <row r="179" spans="12:19" ht="18.75" x14ac:dyDescent="0.25">
      <c r="L179" s="20"/>
      <c r="M179" s="28"/>
      <c r="N179" s="26"/>
      <c r="O179" s="26"/>
      <c r="P179" s="26"/>
      <c r="Q179" s="13"/>
      <c r="R179" s="10"/>
      <c r="S179" s="10"/>
    </row>
    <row r="180" spans="12:19" ht="15" customHeight="1" x14ac:dyDescent="0.25">
      <c r="L180" s="19" t="s">
        <v>30</v>
      </c>
      <c r="M180" s="26" t="e">
        <f ca="1">M176</f>
        <v>#REF!</v>
      </c>
      <c r="N180" s="31"/>
      <c r="O180" s="31"/>
      <c r="P180" s="31"/>
      <c r="Q180" s="15"/>
      <c r="R180" s="15"/>
      <c r="S180" s="15"/>
    </row>
    <row r="181" spans="12:19" ht="18.75" x14ac:dyDescent="0.25">
      <c r="L181" s="19" t="s">
        <v>21</v>
      </c>
      <c r="M181" s="26" t="e">
        <f ca="1">INDIRECT(CONCATENATE(B4,"!S10"))</f>
        <v>#REF!</v>
      </c>
      <c r="N181" s="31"/>
      <c r="O181" s="31"/>
      <c r="P181" s="31"/>
      <c r="Q181" s="15"/>
      <c r="R181" s="15"/>
      <c r="S181" s="15"/>
    </row>
    <row r="182" spans="12:19" x14ac:dyDescent="0.25">
      <c r="L182" s="12"/>
      <c r="M182" s="15"/>
      <c r="N182" s="15"/>
      <c r="O182" s="15"/>
      <c r="P182" s="15"/>
      <c r="Q182" s="15"/>
      <c r="R182" s="15"/>
      <c r="S182" s="15"/>
    </row>
    <row r="183" spans="12:19" x14ac:dyDescent="0.25">
      <c r="L183" s="12"/>
      <c r="M183" s="15"/>
      <c r="N183" s="15"/>
      <c r="O183" s="15"/>
      <c r="P183" s="15"/>
      <c r="Q183" s="15"/>
      <c r="R183" s="15"/>
      <c r="S183" s="15"/>
    </row>
  </sheetData>
  <autoFilter ref="L81:L157" xr:uid="{00000000-0001-0000-0200-000000000000}"/>
  <mergeCells count="4">
    <mergeCell ref="A4:A13"/>
    <mergeCell ref="M171:P171"/>
    <mergeCell ref="M172:P172"/>
    <mergeCell ref="M173:P173"/>
  </mergeCells>
  <conditionalFormatting sqref="B82:B158">
    <cfRule type="duplicateValues" dxfId="15" priority="20"/>
  </conditionalFormatting>
  <conditionalFormatting sqref="B83:B158">
    <cfRule type="expression" dxfId="14" priority="5">
      <formula>AND((B83-B82)&gt;1,ROW(B82)&lt;&gt;ROW(B$82))</formula>
    </cfRule>
  </conditionalFormatting>
  <conditionalFormatting sqref="D82:D158">
    <cfRule type="duplicateValues" dxfId="13" priority="19"/>
  </conditionalFormatting>
  <conditionalFormatting sqref="D83:D158">
    <cfRule type="expression" dxfId="12" priority="4">
      <formula>AND((D83-D82)&gt;1,ROW(D82)&lt;&gt;ROW(D$82))</formula>
    </cfRule>
  </conditionalFormatting>
  <conditionalFormatting sqref="F82:F158">
    <cfRule type="duplicateValues" dxfId="11" priority="18"/>
  </conditionalFormatting>
  <conditionalFormatting sqref="I82:I158">
    <cfRule type="duplicateValues" dxfId="10" priority="6"/>
  </conditionalFormatting>
  <conditionalFormatting sqref="J4:J80 J82:J158">
    <cfRule type="duplicateValues" dxfId="9" priority="9"/>
  </conditionalFormatting>
  <conditionalFormatting sqref="J82:J158">
    <cfRule type="cellIs" dxfId="8" priority="2" operator="equal">
      <formula>0</formula>
    </cfRule>
    <cfRule type="duplicateValues" dxfId="7" priority="16"/>
  </conditionalFormatting>
  <conditionalFormatting sqref="K82:K159">
    <cfRule type="expression" dxfId="6" priority="3">
      <formula>SUMPRODUCT(--($K82=$K$82:$K$201))&gt;1</formula>
    </cfRule>
  </conditionalFormatting>
  <conditionalFormatting sqref="L82:L158">
    <cfRule type="duplicateValues" dxfId="5" priority="14"/>
  </conditionalFormatting>
  <conditionalFormatting sqref="M82:M158">
    <cfRule type="duplicateValues" dxfId="4" priority="13"/>
  </conditionalFormatting>
  <conditionalFormatting sqref="O4:O80 O82:O158">
    <cfRule type="duplicateValues" priority="7"/>
  </conditionalFormatting>
  <conditionalFormatting sqref="O82:O158">
    <cfRule type="cellIs" dxfId="3" priority="1" operator="equal">
      <formula>0</formula>
    </cfRule>
    <cfRule type="duplicateValues" dxfId="2" priority="12"/>
  </conditionalFormatting>
  <conditionalFormatting sqref="P82:P158">
    <cfRule type="expression" dxfId="1" priority="11">
      <formula>P82&gt;12</formula>
    </cfRule>
  </conditionalFormatting>
  <conditionalFormatting sqref="Q82:Q158">
    <cfRule type="uniqu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TPP</vt:lpstr>
      <vt:lpstr>Consolidated invoice</vt:lpstr>
      <vt:lpstr>TOTAL</vt:lpstr>
      <vt:lpstr>'Consolidated invoice'!Область_печати</vt:lpstr>
      <vt:lpstr>TPP!Область_печати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Мишев</dc:creator>
  <cp:lastModifiedBy>MikroPON</cp:lastModifiedBy>
  <cp:lastPrinted>2023-09-11T12:40:22Z</cp:lastPrinted>
  <dcterms:created xsi:type="dcterms:W3CDTF">2020-04-06T13:35:24Z</dcterms:created>
  <dcterms:modified xsi:type="dcterms:W3CDTF">2026-02-01T18:25:22Z</dcterms:modified>
</cp:coreProperties>
</file>